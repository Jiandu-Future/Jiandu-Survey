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\93589\Documents\xwechat_files\wxid_9l2swisd7hd422_2e9b\msg\file\2026-09\"/>
    </mc:Choice>
  </mc:AlternateContent>
  <bookViews>
    <workbookView windowWidth="25600" windowHeight="11630"/>
  </bookViews>
  <sheets>
    <sheet name="Source-level coding" sheetId="1" r:id="rId1"/>
    <sheet name="Coding summary" sheetId="2" r:id="rId2"/>
    <sheet name="Contextual references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<sst xmlns="http://schemas.openxmlformats.org/spreadsheetml/2006/main" count="982" uniqueCount="576">
  <si>
    <t>Source-Level Coding of the 80-Source Analytical Corpus</t>
  </si>
  <si>
    <t>Each source is assigned one primary evidence scale and one carrier category according to its principal analytical role in the Review. Secondary cross-scale relevance is retained without double counting. Six architectural and built-heritage studies are retained separately as contextual methodological references and are excluded from the 80-source Jiandu-specific evidence-scale and carrier distributions.</t>
  </si>
  <si>
    <t>2</t>
  </si>
  <si>
    <t>Source ID</t>
  </si>
  <si>
    <t>BibTeX key</t>
  </si>
  <si>
    <t>Source</t>
  </si>
  <si>
    <t>Title</t>
  </si>
  <si>
    <t>Year</t>
  </si>
  <si>
    <t>Publication type</t>
  </si>
  <si>
    <t>Venue</t>
  </si>
  <si>
    <t>Relationship to Jiandu</t>
  </si>
  <si>
    <t>Primary evidence scale</t>
  </si>
  <si>
    <t>Carrier coverage</t>
  </si>
  <si>
    <t>Analytical role / coding rationale</t>
  </si>
  <si>
    <t>DOI / URL</t>
  </si>
  <si>
    <t>SRC-01</t>
  </si>
  <si>
    <t>li2014deterioration</t>
  </si>
  <si>
    <t>Li et al. (2014)</t>
  </si>
  <si>
    <t>Investigation into the deterioration process of archaeological bamboo strips of China from four different periods by chemical and anatomical analysis</t>
  </si>
  <si>
    <t>Journal article</t>
  </si>
  <si>
    <t>Polymer Degradation and Stability</t>
  </si>
  <si>
    <t>Foundational material / manuscript scholarship</t>
  </si>
  <si>
    <t>Material</t>
  </si>
  <si>
    <t>Bamboo-centred</t>
  </si>
  <si>
    <t>Chemical/anatomical evidence on archaeological bamboo deterioration.</t>
  </si>
  <si>
    <t>https://doi.org/10.1016/j.polymdegradstab.2014.06.022</t>
  </si>
  <si>
    <t>SRC-02</t>
  </si>
  <si>
    <t>stromer2019virtual</t>
  </si>
  <si>
    <t>Stromer et al. (2019)</t>
  </si>
  <si>
    <t>Virtual cleaning and unwrapping of non-invasively digitized soiled bamboo scrolls</t>
  </si>
  <si>
    <t>Scientific Reports</t>
  </si>
  <si>
    <t>Adjacent ancient-document / script evidence</t>
  </si>
  <si>
    <t>Surface</t>
  </si>
  <si>
    <t>Adjacent/non-Jiandu evidence</t>
  </si>
  <si>
    <t>Non-invasive CT observation and virtual surface recovery.</t>
  </si>
  <si>
    <t>https://doi.org/10.1038/s41598-019-39447-0</t>
  </si>
  <si>
    <t>SRC-03</t>
  </si>
  <si>
    <t>liu2025deepjiandu</t>
  </si>
  <si>
    <t>Liu et al. (2025)</t>
  </si>
  <si>
    <t>DeepJiandu Dataset for Character Detection and Recognition on Jiandu Manuscript</t>
  </si>
  <si>
    <t>Scientific Data</t>
  </si>
  <si>
    <t>Direct Jiandu / bamboo-wood computational evidence</t>
  </si>
  <si>
    <t>Character</t>
  </si>
  <si>
    <t>Jiandu/manuscript; carrier unspecified or inseparable</t>
  </si>
  <si>
    <t>Character detection/recognition benchmark on Jiandu images.</t>
  </si>
  <si>
    <t>https://doi.org/10.1038/s41597-025-04716-3</t>
  </si>
  <si>
    <t>SRC-04</t>
  </si>
  <si>
    <t>zhang2026ssa</t>
  </si>
  <si>
    <t>Zhang et al. (2026)</t>
  </si>
  <si>
    <t>SSA-based adaptive infrared-visible image fusion for ink enhancement in ancient bamboo slips</t>
  </si>
  <si>
    <t>npj Heritage Science</t>
  </si>
  <si>
    <t>Infrared-visible fusion for weak-ink surface enhancement.</t>
  </si>
  <si>
    <t>https://doi.org/10.1038/s40494-025-02293-7</t>
  </si>
  <si>
    <t>SRC-05</t>
  </si>
  <si>
    <t>zhu2026rejoining</t>
  </si>
  <si>
    <t>Zhu et al. (2026)</t>
  </si>
  <si>
    <t>Rejoining fragmented ancient bamboo slips with physics-driven deep learning</t>
  </si>
  <si>
    <t>Nature Communications</t>
  </si>
  <si>
    <t>Fragment</t>
  </si>
  <si>
    <t>Both bamboo and wood</t>
  </si>
  <si>
    <t>Physics-driven matching/rejoining of bamboo and wooden fragments.</t>
  </si>
  <si>
    <t>https://doi.org/10.1038/s41467-026-70361-y</t>
  </si>
  <si>
    <t>SRC-06</t>
  </si>
  <si>
    <t>fu2025progress</t>
  </si>
  <si>
    <t>Fu et al. (2025)</t>
  </si>
  <si>
    <t>Progress and Prospects of Bamboo Slips Digitization: A Preliminary Exploration of Digital-Intelligent Development of Liye Qin Slips</t>
  </si>
  <si>
    <t>Journal of Jishou University (Natural Sciences Edition)</t>
  </si>
  <si>
    <t>Jiandu digitization review spanning image-processing applications.</t>
  </si>
  <si>
    <t>https://doi.org/10.13438/j.cnki.jdzk.2025.06.011</t>
  </si>
  <si>
    <t>SRC-07</t>
  </si>
  <si>
    <t>chen2026oracle</t>
  </si>
  <si>
    <t>Chen et al. (2026)</t>
  </si>
  <si>
    <t>Oracle bone inscriptions information processing: a comprehensive survey</t>
  </si>
  <si>
    <t>Meaning</t>
  </si>
  <si>
    <t>Adjacent survey of ancient-script information-processing tasks.</t>
  </si>
  <si>
    <t>https://doi.org/10.1038/s40494-026-02511-w</t>
  </si>
  <si>
    <t>SRC-08</t>
  </si>
  <si>
    <t>tsien2004written</t>
  </si>
  <si>
    <t>Tsien (2004)</t>
  </si>
  <si>
    <t>Written on Bamboo and Silk: The Beginnings of Chinese Books and Inscriptions</t>
  </si>
  <si>
    <t>Book</t>
  </si>
  <si>
    <t>University of Chicago Press</t>
  </si>
  <si>
    <t>Manuscript</t>
  </si>
  <si>
    <t>Foundational physical/manuscript context for bamboo writing.</t>
  </si>
  <si>
    <t>SRC-09</t>
  </si>
  <si>
    <t>richter2013embodied</t>
  </si>
  <si>
    <t>Richter (2013)</t>
  </si>
  <si>
    <t>The Embodied Text: Establishing Textual Identity in Early Chinese Manuscripts</t>
  </si>
  <si>
    <t>Brill</t>
  </si>
  <si>
    <t>Material-textual manuscript identity and embodied evidence.</t>
  </si>
  <si>
    <t>https://doi.org/10.1163/9789004243811</t>
  </si>
  <si>
    <t>SRC-10</t>
  </si>
  <si>
    <t>lai2017manuscript</t>
  </si>
  <si>
    <t>Lai &amp; Wang (2017)</t>
  </si>
  <si>
    <t>Manuscript culture in early China: Editors' introduction</t>
  </si>
  <si>
    <t>Chinese Studies in History</t>
  </si>
  <si>
    <t>Early-Chinese manuscript-culture framework.</t>
  </si>
  <si>
    <t>https://doi.org/10.1080/00094633.2017.1420287</t>
  </si>
  <si>
    <t>SRC-11</t>
  </si>
  <si>
    <t>cha2014micromorphological</t>
  </si>
  <si>
    <t>Cha et al. (2014)</t>
  </si>
  <si>
    <t>Micromorphological and chemical aspects of archaeological bamboos under long-term waterlogged condition</t>
  </si>
  <si>
    <t>International Biodeterioration &amp; Biodegradation</t>
  </si>
  <si>
    <t>Micromorphological and chemical evidence under waterlogged burial.</t>
  </si>
  <si>
    <t>https://doi.org/10.1016/j.ibiod.2013.08.008</t>
  </si>
  <si>
    <t>SRC-12</t>
  </si>
  <si>
    <t>wang2025degradation</t>
  </si>
  <si>
    <t>Wang et al. (2025)</t>
  </si>
  <si>
    <t>Degradation state and preservation quality of archaeological bamboo from a 2000-year-old Chinese royal tomb</t>
  </si>
  <si>
    <t>Material degradation state and preservation-quality assessment.</t>
  </si>
  <si>
    <t>https://doi.org/10.1038/s40494-025-01758-z</t>
  </si>
  <si>
    <t>SRC-13</t>
  </si>
  <si>
    <t>zhao2025aging</t>
  </si>
  <si>
    <t>Zhao et al. (2025)</t>
  </si>
  <si>
    <t>Artificial simulated aging of bamboo slips and its degradation mechanism</t>
  </si>
  <si>
    <t>Experimental bamboo-slip ageing and degradation mechanisms.</t>
  </si>
  <si>
    <t>https://doi.org/10.1016/j.polymdegradstab.2025.111254</t>
  </si>
  <si>
    <t>SRC-14</t>
  </si>
  <si>
    <t>zhong2026microbial</t>
  </si>
  <si>
    <t>Zhong et al. (2026)</t>
  </si>
  <si>
    <t>Environmental Filtering Drives Microbial Community Shifts and Functional Niche Differentiation of Fungi in Waterlogged and Dried Archeological Bamboo Slips</t>
  </si>
  <si>
    <t>Journal of Fungi</t>
  </si>
  <si>
    <t>Microbial deterioration processes in archaeological bamboo slips.</t>
  </si>
  <si>
    <t>https://doi.org/10.3390/jof12010066</t>
  </si>
  <si>
    <t>SRC-15</t>
  </si>
  <si>
    <t>wang2021extraction</t>
  </si>
  <si>
    <t>Wang et al. (2021)</t>
  </si>
  <si>
    <t>Research on extraction of fragile bamboo slips by underwater temporary solidification in original state</t>
  </si>
  <si>
    <t>Journal of Cultural Heritage</t>
  </si>
  <si>
    <t>Conservation handling/extraction of fragile archaeological bamboo.</t>
  </si>
  <si>
    <t>https://doi.org/10.1016/j.culher.2021.08.008</t>
  </si>
  <si>
    <t>SRC-16</t>
  </si>
  <si>
    <t>wan2026registration</t>
  </si>
  <si>
    <t>Wan et al. (2026)</t>
  </si>
  <si>
    <t>Adaptive multi-feature fusion for visible-infrared image registration and character enhancement of bamboo slips</t>
  </si>
  <si>
    <t>Visible–infrared registration and enhancement of surviving traces.</t>
  </si>
  <si>
    <t>https://doi.org/10.1038/s40494-026-02368-z</t>
  </si>
  <si>
    <t>SRC-17</t>
  </si>
  <si>
    <t>zhang2026pointcloud</t>
  </si>
  <si>
    <t>Jiandu point cloud registration using high-resolution data and generalized t-student kernel</t>
  </si>
  <si>
    <t>3D point-cloud registration of Jiandu fragments.</t>
  </si>
  <si>
    <t>https://doi.org/10.1038/s40494-026-02533-4</t>
  </si>
  <si>
    <t>SRC-18</t>
  </si>
  <si>
    <t>wang2026scribe</t>
  </si>
  <si>
    <t>Wang et al. (2026)</t>
  </si>
  <si>
    <t>Tsinghua bamboo slip scribe verification using Siamese networks</t>
  </si>
  <si>
    <t>Slip</t>
  </si>
  <si>
    <t>Scribe verification used to test slip-level grouping relations.</t>
  </si>
  <si>
    <t>https://doi.org/10.1038/s40494-026-02416-8</t>
  </si>
  <si>
    <t>SRC-19</t>
  </si>
  <si>
    <t>zhao2023acquisition</t>
  </si>
  <si>
    <t>Zhao &amp; Jia (2023)</t>
  </si>
  <si>
    <t>Protection and requirements in the image information acquisition process of bamboo and wooden slips</t>
  </si>
  <si>
    <t>Excavated Documents</t>
  </si>
  <si>
    <t>Acquisition requirements for bamboo and wooden-slip imaging.</t>
  </si>
  <si>
    <t>SRC-20</t>
  </si>
  <si>
    <t>cao2022segmentation</t>
  </si>
  <si>
    <t>Cao et al. (2022)</t>
  </si>
  <si>
    <t>Character segmentation and restoration of Qin-Han bamboo slips using local auto-focus thresholding method</t>
  </si>
  <si>
    <t>Multimedia Tools and Applications</t>
  </si>
  <si>
    <t>Character segmentation and restoration at glyph level.</t>
  </si>
  <si>
    <t>https://doi.org/10.1007/s11042-022-11988-z</t>
  </si>
  <si>
    <t>SRC-21</t>
  </si>
  <si>
    <t>shimoyama2023unet</t>
  </si>
  <si>
    <t>Shimoyama et al. (2023)</t>
  </si>
  <si>
    <t>U-Net Architecture for Ancient Handwritten Chinese Character Detection in Han Dynasty Wooden Slips</t>
  </si>
  <si>
    <t>IEICE Transactions on Fundamentals of Electronics, Communications and Computer Sciences</t>
  </si>
  <si>
    <t>Wood-specific</t>
  </si>
  <si>
    <t>Character detection in Han-dynasty wooden slips.</t>
  </si>
  <si>
    <t>https://doi.org/10.1587/transfun.2023SMP0007</t>
  </si>
  <si>
    <t>SRC-22</t>
  </si>
  <si>
    <t>jing2024dbnet</t>
  </si>
  <si>
    <t>Jing et al. (2024)</t>
  </si>
  <si>
    <t>Method for Qin Bamboo Slip Text Detection Based on an Enhanced DBNet Model</t>
  </si>
  <si>
    <t>Conference paper</t>
  </si>
  <si>
    <t>2024 4th International Symposium on Artificial Intelligence and Intelligent Manufacturing (AIIM 2024)</t>
  </si>
  <si>
    <t>Qin bamboo-slip text/character detection.</t>
  </si>
  <si>
    <t>https://doi.org/10.1109/AIIM64537.2024.10934214</t>
  </si>
  <si>
    <t>SRC-23</t>
  </si>
  <si>
    <t>zhang2025textdetection</t>
  </si>
  <si>
    <t>Zhang et al. (2025)</t>
  </si>
  <si>
    <t>A feature-enhanced text detection model for Jiandu manuscripts</t>
  </si>
  <si>
    <t>Jiandu text detection under degraded backgrounds.</t>
  </si>
  <si>
    <t>https://doi.org/10.1038/s40494-025-01807-7</t>
  </si>
  <si>
    <t>SRC-24</t>
  </si>
  <si>
    <t>zhang2026ddsf</t>
  </si>
  <si>
    <t>DDSF-YOLO for accurate multi-scale text detection in Jiandu images</t>
  </si>
  <si>
    <t>Multi-scale Jiandu text detection benchmark/model.</t>
  </si>
  <si>
    <t>https://doi.org/10.1038/s40494-026-02639-9</t>
  </si>
  <si>
    <t>SRC-25</t>
  </si>
  <si>
    <t>hong2026maskfusion</t>
  </si>
  <si>
    <t>Hong et al. (2026)</t>
  </si>
  <si>
    <t>A mask-fusion detection method for character integrity preservation and adhesion segmentation in Jiandu manuscripts</t>
  </si>
  <si>
    <t>Character-integrity detection and adhesion segmentation.</t>
  </si>
  <si>
    <t>https://doi.org/10.1038/s40494-026-02725-y</t>
  </si>
  <si>
    <t>SRC-26</t>
  </si>
  <si>
    <t>zhang2025hanbamboo</t>
  </si>
  <si>
    <t>Binarizing Severely Degraded Ancient Bamboo Slips: Dataset and Baseline</t>
  </si>
  <si>
    <t>Proceedings of the 36th British Machine Vision Conference (BMVC 2025)</t>
  </si>
  <si>
    <t>Binarization benchmark for severely degraded slip images.</t>
  </si>
  <si>
    <t>https://bmva-archive.org.uk/bmvc/2025/assets/papers/Paper_1177/paper.pdf</t>
  </si>
  <si>
    <t>SRC-27</t>
  </si>
  <si>
    <t>zhang2025bambink</t>
  </si>
  <si>
    <t>Ink Enhancement for Ancient Bamboo Manuscripts Using Iterative Restoration-Degradation Adversarial Learning</t>
  </si>
  <si>
    <t>Image-level ink enhancement under degradation.</t>
  </si>
  <si>
    <t>https://bmva-archive.org.uk/bmvc/2025/assets/papers/Paper_988/paper.pdf</t>
  </si>
  <si>
    <t>SRC-28</t>
  </si>
  <si>
    <t>wang2026superresolution</t>
  </si>
  <si>
    <t>Dual-stream disentangled super-resolution for bamboo slip text images</t>
  </si>
  <si>
    <t>Image super-resolution for bamboo-slip text surfaces.</t>
  </si>
  <si>
    <t>https://doi.org/10.1038/s40494-026-02495-7</t>
  </si>
  <si>
    <t>SRC-29</t>
  </si>
  <si>
    <t>chen2024context</t>
  </si>
  <si>
    <t>Chen et al. (2024)</t>
  </si>
  <si>
    <t>Research on the Qin Bamboo Slip Character Images Inpainting Algorithm Based on the Context Encoder Model</t>
  </si>
  <si>
    <t>Fourth International Conference on Computer Graphics, Image, and Virtualization (ICCGIV 2024)</t>
  </si>
  <si>
    <t>Context-encoder inpainting of Qin bamboo-slip characters.</t>
  </si>
  <si>
    <t>https://doi.org/10.1117/12.3044958</t>
  </si>
  <si>
    <t>SRC-30</t>
  </si>
  <si>
    <t>cao2025cgan</t>
  </si>
  <si>
    <t>Cao et al. (2025)</t>
  </si>
  <si>
    <t>Character restoration of Qin and Han bamboo slips based on improved conditional generative adversarial networks</t>
  </si>
  <si>
    <t>GAN-based restoration of Qin/Han bamboo-slip characters.</t>
  </si>
  <si>
    <t>https://doi.org/10.1038/s40494-025-01870-0</t>
  </si>
  <si>
    <t>SRC-31</t>
  </si>
  <si>
    <t>lu2026fourier</t>
  </si>
  <si>
    <t>Lu et al. (2026)</t>
  </si>
  <si>
    <t>A JianDu character restoration method based on cross-domain debiased Fourier fusion and parameterized coordinate query</t>
  </si>
  <si>
    <t>Fourier-based Jiandu character restoration.</t>
  </si>
  <si>
    <t>https://doi.org/10.1038/s40494-026-02414-w</t>
  </si>
  <si>
    <t>SRC-32</t>
  </si>
  <si>
    <t>li2026ecdgan</t>
  </si>
  <si>
    <t>Li et al. (2026)</t>
  </si>
  <si>
    <t>Restoration of Liye Qin slips characters using generative adversarial network with effective connected component constraint</t>
  </si>
  <si>
    <t>Liye character restoration with connected-component constraints.</t>
  </si>
  <si>
    <t>https://doi.org/10.1038/s40494-026-02434-6</t>
  </si>
  <si>
    <t>SRC-33</t>
  </si>
  <si>
    <t>zhou2026semisupervised</t>
  </si>
  <si>
    <t>Zhou et al. (2026)</t>
  </si>
  <si>
    <t>Semi-supervised restoration of damaged characters in Liye Qin bamboo slips</t>
  </si>
  <si>
    <t>Semi-supervised restoration of damaged Liye characters.</t>
  </si>
  <si>
    <t>https://doi.org/10.1038/s40494-026-02785-0</t>
  </si>
  <si>
    <t>SRC-34</t>
  </si>
  <si>
    <t>yoshizu2025diffusion</t>
  </si>
  <si>
    <t>Yoshizu et al. (2025)</t>
  </si>
  <si>
    <t>Restoration of ancient Japanese manuscripts via the diffusion denoising restoration model and color space-based masking</t>
  </si>
  <si>
    <t>Adjacent manuscript image-restoration method for transfer comparison.</t>
  </si>
  <si>
    <t>https://doi.org/10.1038/s40494-025-02214-8</t>
  </si>
  <si>
    <t>SRC-35</t>
  </si>
  <si>
    <t>wu2021attention</t>
  </si>
  <si>
    <t>Wu et al. (2021)</t>
  </si>
  <si>
    <t>Ancient Chinese Recognition Method Based on Attention Mechanism</t>
  </si>
  <si>
    <t>2021 7th IEEE International Conference on Network Intelligence and Digital Content (IC-NIDC)</t>
  </si>
  <si>
    <t>Ancient-Chinese character recognition using attention.</t>
  </si>
  <si>
    <t>https://doi.org/10.1109/IC-NIDC54101.2021.9660518</t>
  </si>
  <si>
    <t>SRC-36</t>
  </si>
  <si>
    <t>zhou2023hog</t>
  </si>
  <si>
    <t>Zhou et al. (2023)</t>
  </si>
  <si>
    <t>Qin character recognition using hybrid HOG feature and SVM model</t>
  </si>
  <si>
    <t>Proceedings of Computer Science</t>
  </si>
  <si>
    <t>Qin-character recognition with HOG and SVM.</t>
  </si>
  <si>
    <t>https://doi.org/10.55092/pcs2023020041</t>
  </si>
  <si>
    <t>SRC-37</t>
  </si>
  <si>
    <t>li2025wanet</t>
  </si>
  <si>
    <t>Li et al. (2025)</t>
  </si>
  <si>
    <t>WA-Net: Wavelet Integrated Attention Network for Silk and Bamboo Character Recognition</t>
  </si>
  <si>
    <t>Engineering Applications of Artificial Intelligence</t>
  </si>
  <si>
    <t>Silk/bamboo character recognition with wavelet attention.</t>
  </si>
  <si>
    <t>https://doi.org/10.1016/j.engappai.2024.109674</t>
  </si>
  <si>
    <t>SRC-38</t>
  </si>
  <si>
    <t>jiang2026sbbn</t>
  </si>
  <si>
    <t>Jiang et al. (2026)</t>
  </si>
  <si>
    <t>Recognition of Warring States bamboo slip characters via a self-supervised bilateral branch network</t>
  </si>
  <si>
    <t>Self-supervised recognition of Warring-States bamboo characters.</t>
  </si>
  <si>
    <t>https://doi.org/10.1038/s40494-026-02740-z</t>
  </si>
  <si>
    <t>SRC-39</t>
  </si>
  <si>
    <t>chen2025multigranularity</t>
  </si>
  <si>
    <t>Chen et al. (2025)</t>
  </si>
  <si>
    <t>Multi-Modal Multi-Granularity Tokenizer for Chu Bamboo Slips</t>
  </si>
  <si>
    <t>Proceedings of the 31st International Conference on Computational Linguistics</t>
  </si>
  <si>
    <t>Glyph/sub-character representation for Chu bamboo slips.</t>
  </si>
  <si>
    <t>SRC-40</t>
  </si>
  <si>
    <t>wang2025hunet</t>
  </si>
  <si>
    <t>HUNet: Hierarchical universal network for multi-type ancient Chinese character recognition</t>
  </si>
  <si>
    <t>Hierarchical recognition across ancient Chinese character types.</t>
  </si>
  <si>
    <t>https://doi.org/10.1038/s40494-025-01813-9</t>
  </si>
  <si>
    <t>SRC-41</t>
  </si>
  <si>
    <t>wang2020multiscene</t>
  </si>
  <si>
    <t>Wang et al. (2020)</t>
  </si>
  <si>
    <t>Multi-scene ancient Chinese text recognition</t>
  </si>
  <si>
    <t>Neurocomputing</t>
  </si>
  <si>
    <t>Cross-scene ancient-Chinese text recognition.</t>
  </si>
  <si>
    <t>https://doi.org/10.1016/j.neucom.2019.10.029</t>
  </si>
  <si>
    <t>SRC-42</t>
  </si>
  <si>
    <t>wang2021coupled</t>
  </si>
  <si>
    <t>Multi-scene ancient Chinese text recognition with deep coupled alignments</t>
  </si>
  <si>
    <t>Applied Soft Computing</t>
  </si>
  <si>
    <t>Cross-scene recognition with coupled alignment.</t>
  </si>
  <si>
    <t>https://doi.org/10.1016/j.asoc.2021.107475</t>
  </si>
  <si>
    <t>SRC-43</t>
  </si>
  <si>
    <t>sheng2026mchdoc</t>
  </si>
  <si>
    <t>Sheng et al. (2026)</t>
  </si>
  <si>
    <t>MCHDoc: A Comprehensive Benchmark for Reading Multi-Carrier Chinese Historical Documents</t>
  </si>
  <si>
    <t>Proceedings of the IEEE/CVF Conference on Computer Vision and Pattern Recognition</t>
  </si>
  <si>
    <t>Multi-carrier historical-document benchmark for domain transfer.</t>
  </si>
  <si>
    <t>SRC-44</t>
  </si>
  <si>
    <t>jia2024liangzhong</t>
  </si>
  <si>
    <t>Jia (2024)</t>
  </si>
  <si>
    <t>Research on the Restoration of Liang Zhong of the Tsinghua Bamboo Slips</t>
  </si>
  <si>
    <t>Case-based reconstruction of a Tsinghua bamboo manuscript.</t>
  </si>
  <si>
    <t>SRC-45</t>
  </si>
  <si>
    <t>pulini2025cldf</t>
  </si>
  <si>
    <t>Pulini &amp; List (2025)</t>
  </si>
  <si>
    <t>Using Cross-Linguistic Data Formats to Enhance the Annotation of Ancient Chinese Documents Written on Bamboo Slips</t>
  </si>
  <si>
    <t>Proceedings of the Second Workshop on Ancient Language Processing</t>
  </si>
  <si>
    <t>Structured linguistic annotation of bamboo-slip documents.</t>
  </si>
  <si>
    <t>https://doi.org/10.18653/v1/2025.alp-1.4</t>
  </si>
  <si>
    <t>SRC-46</t>
  </si>
  <si>
    <t>shi2025hisdoc</t>
  </si>
  <si>
    <t>Shi et al. (2025)</t>
  </si>
  <si>
    <t>A large-scale dataset for Chinese historical document recognition and analysis</t>
  </si>
  <si>
    <t>Large-scale historical-document recognition/analysis benchmark.</t>
  </si>
  <si>
    <t>https://doi.org/10.1038/s41597-025-04495-x</t>
  </si>
  <si>
    <t>SRC-47</t>
  </si>
  <si>
    <t>cui2024claonto</t>
  </si>
  <si>
    <t>Cui et al. (2024)</t>
  </si>
  <si>
    <t>Linking past insights with contemporary understanding: an ontological and knowledge graph approach to the transmission of ancient Chinese classics</t>
  </si>
  <si>
    <t>Heritage Science</t>
  </si>
  <si>
    <t>Ontology/knowledge-graph representation of classical texts.</t>
  </si>
  <si>
    <t>https://doi.org/10.1186/s40494-024-01504-x</t>
  </si>
  <si>
    <t>SRC-48</t>
  </si>
  <si>
    <t>zhang2023aclue</t>
  </si>
  <si>
    <t>Zhang &amp; Li (2023)</t>
  </si>
  <si>
    <t>Can Large Language Model Comprehend Ancient Chinese? A Preliminary Test on ACLUE</t>
  </si>
  <si>
    <t>Proceedings of the Ancient Language Processing Workshop</t>
  </si>
  <si>
    <t>Benchmark for ancient-Chinese language-model comprehension.</t>
  </si>
  <si>
    <t>SRC-49</t>
  </si>
  <si>
    <t>lv2025multiagent</t>
  </si>
  <si>
    <t>Lv et al. (2025)</t>
  </si>
  <si>
    <t>A multi agent classical Chinese translation method based on large language models</t>
  </si>
  <si>
    <t>LLM multi-agent translation as adjacent interpretation method.</t>
  </si>
  <si>
    <t>https://doi.org/10.1038/s41598-025-23904-0</t>
  </si>
  <si>
    <t>SRC-50</t>
  </si>
  <si>
    <t>tian2026liyeagent</t>
  </si>
  <si>
    <t>Tian et al. (2026)</t>
  </si>
  <si>
    <t>Designing Narrative Reconstruction from Bamboo Slips: A RAG-Agent Approach for Cultural Scene Generation</t>
  </si>
  <si>
    <t>DRS2026: Design Research Society International Conference</t>
  </si>
  <si>
    <t>Jiandu-specific retrieval-grounded generative interpretation.</t>
  </si>
  <si>
    <t>https://doi.org/10.21606/drs.2026.1738</t>
  </si>
  <si>
    <t>SRC-51</t>
  </si>
  <si>
    <t>zhu2026epiagent</t>
  </si>
  <si>
    <t>EpiAgent: An Agent-Centric System for Ancient Inscription Restoration</t>
  </si>
  <si>
    <t>Agentic orchestration for inscription restoration/interpretation.</t>
  </si>
  <si>
    <t>SRC-52</t>
  </si>
  <si>
    <t>larsson2025fair</t>
  </si>
  <si>
    <t>Larsson et al. (2025)</t>
  </si>
  <si>
    <t>Developing practices for FAIR and linked data in Heritage Science</t>
  </si>
  <si>
    <t>Adjacent heritage-methodology</t>
  </si>
  <si>
    <t>FAIR/linked-data principles for interoperable heritage evidence.</t>
  </si>
  <si>
    <t>https://doi.org/10.1038/s40494-025-01598-x</t>
  </si>
  <si>
    <t>SRC-53</t>
  </si>
  <si>
    <t>paolanti2026trustworthy</t>
  </si>
  <si>
    <t>Paolanti et al. (2026)</t>
  </si>
  <si>
    <t>Towards trustworthy AI in cultural heritage</t>
  </si>
  <si>
    <t>Trustworthy-AI principles for cultural-heritage workflows.</t>
  </si>
  <si>
    <t>https://doi.org/10.1038/s40494-026-02403-z</t>
  </si>
  <si>
    <t>SRC-54</t>
  </si>
  <si>
    <t>mols2026provenance</t>
  </si>
  <si>
    <t>Mols &amp; Vastenhoud (2026)</t>
  </si>
  <si>
    <t>Interoperable provenance data for heritage crime monitoring of architectural elements</t>
  </si>
  <si>
    <t>Interoperable computational-provenance model in heritage.</t>
  </si>
  <si>
    <t>https://doi.org/10.1038/s40494-025-01919-0</t>
  </si>
  <si>
    <t>SRC-55</t>
  </si>
  <si>
    <t>assael2025aeneas</t>
  </si>
  <si>
    <t>Assael et al. (2025)</t>
  </si>
  <si>
    <t>Contextualizing ancient texts with generative neural networks</t>
  </si>
  <si>
    <t>Nature</t>
  </si>
  <si>
    <t>Human–AI retrieval/prediction for ancient-text interpretation.</t>
  </si>
  <si>
    <t>https://doi.org/10.1038/s41586-025-09292-5</t>
  </si>
  <si>
    <t>SRC-56</t>
  </si>
  <si>
    <t>wu2026domainadapt</t>
  </si>
  <si>
    <t>Wu et al. (2026)</t>
  </si>
  <si>
    <t>Leveraging progressive domain adaptation for unsupervised cross-domain oracle bone inscription recognition</t>
  </si>
  <si>
    <t>Cross-domain oracle-bone recognition and generalization evidence.</t>
  </si>
  <si>
    <t>https://doi.org/10.1038/s40494-026-02690-6</t>
  </si>
  <si>
    <t>SRC-57</t>
  </si>
  <si>
    <t>giele1998manuscripts</t>
  </si>
  <si>
    <t>Giele (1998)</t>
  </si>
  <si>
    <t>Early Chinese Manuscripts: Including Addenda and Corrigenda to New Sources of Early Chinese History: An Introduction to the Reading of Inscriptions and Manuscripts</t>
  </si>
  <si>
    <t>Early China</t>
  </si>
  <si>
    <t>Foundational synthesis of early Chinese manuscript evidence.</t>
  </si>
  <si>
    <t>https://doi.org/10.1017/S0362502800000997</t>
  </si>
  <si>
    <t>SRC-58</t>
  </si>
  <si>
    <t>staack2016reconstruction</t>
  </si>
  <si>
    <t>Staack (2016)</t>
  </si>
  <si>
    <t>Reconstruction of Early Chinese Bamboo and Wood Manuscripts: A Review (1900–2010)</t>
  </si>
  <si>
    <t>Csmc Occasional Paper</t>
  </si>
  <si>
    <t>Centre for the Study of Manuscript Cultures, University of Hamburg</t>
  </si>
  <si>
    <t>Review of bamboo/wood manuscript reconstruction principles.</t>
  </si>
  <si>
    <t>https://doi.org/10.25592/uhhfdm.9812</t>
  </si>
  <si>
    <t>SRC-59</t>
  </si>
  <si>
    <t>staack2017backyard</t>
  </si>
  <si>
    <t>Staack (2017)</t>
  </si>
  <si>
    <t>The Neglected "Backyard" of Early Chinese Manuscripts: How an Analysis of the Verso of Bamboo Slips Can Enable the Reconstruction of a Manuscript Roll</t>
  </si>
  <si>
    <t>Repository / scholarly resource</t>
  </si>
  <si>
    <t>heiDOK, Heidelberg University Document Repository</t>
  </si>
  <si>
    <t>Verso evidence for reconstructing bamboo manuscript order.</t>
  </si>
  <si>
    <t>https://doi.org/10.11588/heidok.00023213</t>
  </si>
  <si>
    <t>SRC-60</t>
  </si>
  <si>
    <t>staack2018singlemulti</t>
  </si>
  <si>
    <t>Staack (2018)</t>
  </si>
  <si>
    <t>Single- and Multi-Piece Manuscripts in Early Imperial China: On the Background and Significance of a Terminological Distinction</t>
  </si>
  <si>
    <t>Manuscript-unit concepts relevant to reconstruction.</t>
  </si>
  <si>
    <t>https://doi.org/10.1017/eac.2018.3</t>
  </si>
  <si>
    <t>SRC-61</t>
  </si>
  <si>
    <t>staack2023evolving</t>
  </si>
  <si>
    <t>Staack (2023)</t>
  </si>
  <si>
    <t>Ancient Chinese Scrolls as Evolving Entities: Implications for Reconstruction and Description</t>
  </si>
  <si>
    <t>Bamboo and Silk</t>
  </si>
  <si>
    <t>Dynamic manuscript structure and reconstruction implications.</t>
  </si>
  <si>
    <t>https://doi.org/10.1163/24689246-20230035</t>
  </si>
  <si>
    <t>SRC-62</t>
  </si>
  <si>
    <t>mao2011digitization</t>
  </si>
  <si>
    <t>Mao (2011)</t>
  </si>
  <si>
    <t>A Review of the Digitization of Bamboo and Silk Documents</t>
  </si>
  <si>
    <t>Lantai World</t>
  </si>
  <si>
    <t>Early review of bamboo-document digitization practices.</t>
  </si>
  <si>
    <t>SRC-63</t>
  </si>
  <si>
    <t>su2011digitization</t>
  </si>
  <si>
    <t>Su &amp; Wang (2011)</t>
  </si>
  <si>
    <t>Practical Difficulties in the Study and Organization of Bamboo and Wooden Slips and Directions for Jiandu Digitization</t>
  </si>
  <si>
    <t>Journal of Ludong University (Philosophy and Social Sciences Edition)</t>
  </si>
  <si>
    <t>Practical digitization constraints and workflow issues.</t>
  </si>
  <si>
    <t>SRC-64</t>
  </si>
  <si>
    <t>su2012standardization</t>
  </si>
  <si>
    <t>Su &amp; Wang (2012)</t>
  </si>
  <si>
    <t>On Standardization Issues in the Digitization of Bamboo and Wooden Slips</t>
  </si>
  <si>
    <t>Standards for interoperable Jiandu digitization.</t>
  </si>
  <si>
    <t>SRC-65</t>
  </si>
  <si>
    <t>zhang2014corpusstandards</t>
  </si>
  <si>
    <t>Zhang (2014)</t>
  </si>
  <si>
    <t>Standardization of Basic Corpus Processing in the Construction of a Qin–Han Bamboo-Slip Corpus</t>
  </si>
  <si>
    <t>Chinese Character Studies</t>
  </si>
  <si>
    <t>Corpus-processing standards for Qin–Han bamboo slips.</t>
  </si>
  <si>
    <t>SRC-66</t>
  </si>
  <si>
    <t>li2017database</t>
  </si>
  <si>
    <t>Li (2017)</t>
  </si>
  <si>
    <t>A Preliminary Analysis of Database Construction for Bamboo and Silk Documents</t>
  </si>
  <si>
    <t>Jianghan Archaeology</t>
  </si>
  <si>
    <t>Database organization for bamboo/silk documentary resources.</t>
  </si>
  <si>
    <t>SRC-67</t>
  </si>
  <si>
    <t>zhang2023guodian</t>
  </si>
  <si>
    <t>Zhang (2023)</t>
  </si>
  <si>
    <t>Assessing the Digitization of the Guodian Chu Slips: Standards for the Development of Excavated-Document Databases</t>
  </si>
  <si>
    <t>Digital Humanities</t>
  </si>
  <si>
    <t>Database/digitization standards for Guodian Chu slips.</t>
  </si>
  <si>
    <t>SRC-68</t>
  </si>
  <si>
    <t>liu2007segmentation</t>
  </si>
  <si>
    <t>Liu &amp; Wang (2007)</t>
  </si>
  <si>
    <t>Character Segmentation Algorithm for Jiandu Images</t>
  </si>
  <si>
    <t>Science Technology and Engineering</t>
  </si>
  <si>
    <t>Image segmentation of Jiandu character regions.</t>
  </si>
  <si>
    <t>SRC-69</t>
  </si>
  <si>
    <t>qin2008unsharp</t>
  </si>
  <si>
    <t>Qin et al. (2008)</t>
  </si>
  <si>
    <t>Application of Unsharp Masking to Character Enhancement in Jiandu Images</t>
  </si>
  <si>
    <t>Microcomputer Information</t>
  </si>
  <si>
    <t>Unsharp masking for image-level character enhancement.</t>
  </si>
  <si>
    <t>SRC-70</t>
  </si>
  <si>
    <t>zhang2008canny</t>
  </si>
  <si>
    <t>Zhang et al. (2008)</t>
  </si>
  <si>
    <t>Application of the Canny Edge Detector to Jiandu Character Restoration</t>
  </si>
  <si>
    <t>Edge-based recovery of degraded Jiandu image structure.</t>
  </si>
  <si>
    <t>SRC-71</t>
  </si>
  <si>
    <t>wang2009retinex</t>
  </si>
  <si>
    <t>Wang &amp; Wang (2009)</t>
  </si>
  <si>
    <t>Application of Multiscale Retinex to Jiandu Image Enhancement</t>
  </si>
  <si>
    <t>Computer Science</t>
  </si>
  <si>
    <t>Retinex enhancement of Jiandu image appearance.</t>
  </si>
  <si>
    <t>SRC-72</t>
  </si>
  <si>
    <t>tang2026deformation</t>
  </si>
  <si>
    <t>Tang et al. (2026)</t>
  </si>
  <si>
    <t>Physics-Guided Multistep Deformation Reversal for Ancient Bamboo Slip Restoration</t>
  </si>
  <si>
    <t>Proceedings of the IEEE/CVF Conference on Computer Vision and Pattern Recognition (CVPR)</t>
  </si>
  <si>
    <t>Geometry-aware reversal of warped bamboo-slip deformation.</t>
  </si>
  <si>
    <t>https://openaccess.thecvf.com/content/CVPR2026/html/Tang_Physics-Guided_Multistep_Deformation_Reversal_for_Ancient_Bamboo_Slip_Restoration_CVPR_2026_paper.html</t>
  </si>
  <si>
    <t>SRC-73</t>
  </si>
  <si>
    <t>tang2026diffusion</t>
  </si>
  <si>
    <t>Physics-Guided Diffusion Models for Ancient Bamboo Script Restoration</t>
  </si>
  <si>
    <t>2026 IEEE International Conference on Acoustics, Speech and Signal Processing (ICASSP)</t>
  </si>
  <si>
    <t>Physics-guided restoration of bamboo-script character appearance.</t>
  </si>
  <si>
    <t>https://doi.org/10.1109/ICASSP55912.2026.11463967</t>
  </si>
  <si>
    <t>SRC-74</t>
  </si>
  <si>
    <t>zhou2026ancientbench</t>
  </si>
  <si>
    <t>AncientBench: Towards Comprehensive Evaluation on Excavated and Transmitted Chinese Corpora</t>
  </si>
  <si>
    <t>Proceedings of the AAAI Conference on Artificial Intelligence</t>
  </si>
  <si>
    <t>Ancient-language benchmark spanning excavated/transmitted corpora.</t>
  </si>
  <si>
    <t>https://doi.org/10.1609/aaai.v40i41.40823</t>
  </si>
  <si>
    <t>SRC-75</t>
  </si>
  <si>
    <t>zhou2026acse</t>
  </si>
  <si>
    <t>ACSE: An Ancient Character Semantic-Aware Embedding for Large Language Models</t>
  </si>
  <si>
    <t>Findings of the Association for Computational Linguistics: ACL 2026</t>
  </si>
  <si>
    <t>Semantic representation for ancient-character LLM integration.</t>
  </si>
  <si>
    <t>https://doi.org/10.18653/v1/2026.findings-acl.437</t>
  </si>
  <si>
    <t>SRC-76</t>
  </si>
  <si>
    <t>Yang2026CorpusReassembly</t>
  </si>
  <si>
    <t>Yang &amp; Yang (2026)</t>
  </si>
  <si>
    <t>Corpus scale reassembly of fragmented bamboo slips using excavation context and latent slip properties</t>
  </si>
  <si>
    <t>Corpus-scale fragment reassembly using excavation context.</t>
  </si>
  <si>
    <t>https://doi.org/10.1038/s40494-026-02993-8</t>
  </si>
  <si>
    <t>SRC-77</t>
  </si>
  <si>
    <t>Liao2026ICSGDiff</t>
  </si>
  <si>
    <t>Liao et al. (2026)</t>
  </si>
  <si>
    <t>ICSGDiff: A Multimodal Structure-Aware Diffusion Network for Restoring Ancient Bamboo Slips</t>
  </si>
  <si>
    <t>Proceedings of the 2026 International Conference on Multimedia Retrieval</t>
  </si>
  <si>
    <t>Structure-aware diffusion restoration of ancient bamboo slips.</t>
  </si>
  <si>
    <t>https://doi.org/10.1145/3805622.3810631</t>
  </si>
  <si>
    <t>SRC-78</t>
  </si>
  <si>
    <t>Ruan2026LWTformer</t>
  </si>
  <si>
    <t>Ruan et al. (2026)</t>
  </si>
  <si>
    <t>LWTformer: A Detail-Aware, Learnable Wavelet-Transformer for Ancient Chinese Character Image Restoration</t>
  </si>
  <si>
    <t>Proceedings of the IEEE/CVF Conference on Computer Vision and Pattern Recognition (CVPR) Findings</t>
  </si>
  <si>
    <t>Ancient-Chinese character-image restoration with wavelet transformer.</t>
  </si>
  <si>
    <t>SRC-79</t>
  </si>
  <si>
    <t>Jiao2026Chibi</t>
  </si>
  <si>
    <t>Jiao et al. (2026)</t>
  </si>
  <si>
    <t>A workflow for deciphering a deeply weathered Chibi cliff inscription</t>
  </si>
  <si>
    <t>Evidence-sensitive decipherment workflow for weathered inscriptions.</t>
  </si>
  <si>
    <t>https://doi.org/10.1038/s40494-026-02990-x</t>
  </si>
  <si>
    <t>SRC-80</t>
  </si>
  <si>
    <t>Li2026OracleBoneSVG</t>
  </si>
  <si>
    <t>Li &amp; Bian (2026)</t>
  </si>
  <si>
    <t>An interpretable parametric representation and open dataset for oracle bone script: adaptive Arc segmentation and SVG resource</t>
  </si>
  <si>
    <t>Structured parametric representation of ancient glyph forms.</t>
  </si>
  <si>
    <t>https://doi.org/10.1038/s40494-026-02995-6</t>
  </si>
  <si>
    <t>Coding summary and consistency check</t>
  </si>
  <si>
    <t>Companion resource</t>
  </si>
  <si>
    <t>https://github.com/Jiandu-Future/Jiandu-Survey</t>
  </si>
  <si>
    <t>Observed count</t>
  </si>
  <si>
    <t>Expected count</t>
  </si>
  <si>
    <t>Analytical corpus</t>
  </si>
  <si>
    <t>Contextual methodological refs</t>
  </si>
  <si>
    <t>Total bibliography</t>
  </si>
  <si>
    <t>Coding date</t>
  </si>
  <si>
    <t>20 September 2026</t>
  </si>
  <si>
    <t>Contextual methodological references excluded from the 80-source analytical distribution</t>
  </si>
  <si>
    <t>Reason excluded from Jiandu-specific distribution</t>
  </si>
  <si>
    <t>Status</t>
  </si>
  <si>
    <t>Guo2026EvidenceConstrainedLOD</t>
  </si>
  <si>
    <t>Guo et al. (2026)</t>
  </si>
  <si>
    <t>An evidence-constrained method for LOD reachability assessment in the virtual reconstruction of historic architectural complexes</t>
  </si>
  <si>
    <t>Architectural/built-heritage methodological context; not Jiandu or directly transferable ancient-document evidence.</t>
  </si>
  <si>
    <t>https://doi.org/10.1038/s40494-026-02953-2</t>
  </si>
  <si>
    <t>Contextual only; excluded from scale/carrier counts</t>
  </si>
  <si>
    <t>LoMonaco2026MultiLevelChurches</t>
  </si>
  <si>
    <t>Lo Monaco et al. (2026)</t>
  </si>
  <si>
    <t>Multi-level seismic evaluations of existing masonry churches: A comparison between a Romanian and an Italian case study</t>
  </si>
  <si>
    <t>Structures</t>
  </si>
  <si>
    <t>https://doi.org/10.1016/j.istruc.2026.111850</t>
  </si>
  <si>
    <t>DAmato2026IntegratedProcedures</t>
  </si>
  <si>
    <t>D'Amato et al. (2026)</t>
  </si>
  <si>
    <t>Integrated procedures for the seismic response assessment of existing masonry constructions</t>
  </si>
  <si>
    <t>Procedia Structural Integrity</t>
  </si>
  <si>
    <t>https://doi.org/10.1016/j.prostr.2025.12.190</t>
  </si>
  <si>
    <t>LoMonaco2026MultilevelRisk</t>
  </si>
  <si>
    <t>Multilevel framework for risk assessment of cultural heritage: application to a case study</t>
  </si>
  <si>
    <t>https://doi.org/10.1016/j.prostr.2025.12.070</t>
  </si>
  <si>
    <t>DAmato2025KnowledgeMonitoring</t>
  </si>
  <si>
    <t>D'Amato et al. (2025)</t>
  </si>
  <si>
    <t>Integrated Procedures for Knowledge and Monitoring of Existing Buildings: Application to Case Studies</t>
  </si>
  <si>
    <t>Proceedings of the 10th International Conference on Computational Methods in Structural Dynamics and Earthquake Engineering (COMPDYN 2025)</t>
  </si>
  <si>
    <t>https://doi.org/10.7712/120125.12615.25354</t>
  </si>
  <si>
    <t>Spacone2025GENESIS</t>
  </si>
  <si>
    <t>Spacone et al. (2025)</t>
  </si>
  <si>
    <t>GENESIS Project: Seismic Risk Management for the Touristic Valorisation of the Historical Centers of Southern Italy</t>
  </si>
  <si>
    <t>https://doi.org/10.7712/120125.12612.25155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</si>
</sst>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name val="Carlito"/>
      <charset val="134"/>
    </font>
    <font>
      <b/>
      <sz val="11"/>
      <color rgb="FFFFFFFF"/>
      <name val="Carlito"/>
      <charset val="134"/>
    </font>
    <font>
      <i/>
      <sz val="1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6B5A31"/>
        <bgColor indexed="64"/>
      </patternFill>
    </fill>
    <fill>
      <patternFill patternType="solid">
        <fgColor rgb="FF315A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0" fillId="0" borderId="0" xfId="49" applyAlignment="1">
      <alignment horizontal="center" vertical="center"/>
    </xf>
    <xf numFmtId="0" fontId="0" fillId="0" borderId="0" xfId="49" applyAlignment="1">
      <alignment horizontal="left" vertical="center"/>
    </xf>
    <xf numFmtId="0" fontId="1" fillId="0" borderId="0" xfId="49" applyNumberFormat="1" applyFont="1" applyFill="1" applyBorder="1" applyAlignment="1">
      <alignment horizontal="left"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left" vertical="center" wrapText="1"/>
    </xf>
    <xf numFmtId="0" fontId="1" fillId="0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vertical="center"/>
    </xf>
    <xf numFmtId="0" fontId="3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le S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ables/table1.xml><?xml version="1.0" encoding="utf-8"?>
<table xmlns="http://schemas.openxmlformats.org/spreadsheetml/2006/main" id="1" name="SupplementaryTableS1" displayName="SupplementaryTableS1" ref="A4:L84" totalsRowShown="0">
  <tableColumns count="12">
    <tableColumn id="1" name="S1 ID"/>
    <tableColumn id="2" name="BibTeX key"/>
    <tableColumn id="3" name="Source"/>
    <tableColumn id="4" name="Title"/>
    <tableColumn id="5" name="Year"/>
    <tableColumn id="6" name="Publication type"/>
    <tableColumn id="7" name="Venue"/>
    <tableColumn id="8" name="Relationship to Jiandu"/>
    <tableColumn id="9" name="Primary evidence scale"/>
    <tableColumn id="10" name="Carrier coverage"/>
    <tableColumn id="11" name="Analytical role / coding rationale"/>
    <tableColumn id="12" name="DOI /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extualRefs" displayName="ContextualRefs" ref="A3:H9" totalsRowShown="0">
  <tableColumns count="8">
    <tableColumn id="1" name="BibTeX key"/>
    <tableColumn id="2" name="Source"/>
    <tableColumn id="3" name="Title"/>
    <tableColumn id="4" name="Year"/>
    <tableColumn id="5" name="Venue"/>
    <tableColumn id="6" name="Reason excluded from Jiandu-specific distribution"/>
    <tableColumn id="7" name="DOI / URL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tabSelected="1" workbookViewId="0">
      <selection activeCell="A1" sqref="A1:L1"/>
    </sheetView>
  </sheetViews>
  <sheetFormatPr defaultColWidth="9" defaultRowHeight="14"/>
  <cols>
    <col min="1" max="1" width="10" style="9" customWidth="1"/>
    <col min="2" max="2" width="24" style="9" customWidth="1"/>
    <col min="3" max="3" width="20" style="9" customWidth="1"/>
    <col min="4" max="4" width="46" style="9" customWidth="1"/>
    <col min="5" max="5" width="9" style="9" customWidth="1"/>
    <col min="6" max="6" width="18" style="9" customWidth="1"/>
    <col min="7" max="7" width="30" style="9" customWidth="1"/>
    <col min="8" max="8" width="34" style="9" customWidth="1"/>
    <col min="9" max="9" width="18" style="9" customWidth="1"/>
    <col min="10" max="10" width="36" style="9" customWidth="1"/>
    <col min="11" max="11" width="48" style="9" customWidth="1"/>
    <col min="12" max="12" width="42" style="9" customWidth="1"/>
    <col min="13" max="16384" width="9" style="9"/>
  </cols>
  <sheetData>
    <row r="1" ht="28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42" customHeight="1" spans="1:12">
      <c r="A2" s="10" t="s">
        <v>1</v>
      </c>
      <c r="B2" s="10" t="s">
        <v>2</v>
      </c>
      <c r="C2" s="10" t="s">
        <v>2</v>
      </c>
      <c r="D2" s="10" t="s">
        <v>2</v>
      </c>
      <c r="E2" s="10" t="s">
        <v>2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  <c r="K2" s="10" t="s">
        <v>2</v>
      </c>
      <c r="L2" s="10" t="s">
        <v>2</v>
      </c>
    </row>
    <row r="4" ht="34" customHeight="1" spans="1:12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</row>
    <row r="5" ht="42" spans="1:12">
      <c r="A5" s="8" t="s">
        <v>15</v>
      </c>
      <c r="B5" s="11" t="s">
        <v>16</v>
      </c>
      <c r="C5" s="11" t="s">
        <v>17</v>
      </c>
      <c r="D5" s="11" t="s">
        <v>18</v>
      </c>
      <c r="E5" s="8">
        <v>2014</v>
      </c>
      <c r="F5" s="8" t="s">
        <v>19</v>
      </c>
      <c r="G5" s="11" t="s">
        <v>20</v>
      </c>
      <c r="H5" s="11" t="s">
        <v>21</v>
      </c>
      <c r="I5" s="8" t="s">
        <v>22</v>
      </c>
      <c r="J5" s="8" t="s">
        <v>23</v>
      </c>
      <c r="K5" s="11" t="s">
        <v>24</v>
      </c>
      <c r="L5" s="11" t="s">
        <v>25</v>
      </c>
    </row>
    <row r="6" ht="28" spans="1:12">
      <c r="A6" s="8" t="s">
        <v>26</v>
      </c>
      <c r="B6" s="11" t="s">
        <v>27</v>
      </c>
      <c r="C6" s="11" t="s">
        <v>28</v>
      </c>
      <c r="D6" s="11" t="s">
        <v>29</v>
      </c>
      <c r="E6" s="8">
        <v>2019</v>
      </c>
      <c r="F6" s="8" t="s">
        <v>19</v>
      </c>
      <c r="G6" s="11" t="s">
        <v>30</v>
      </c>
      <c r="H6" s="11" t="s">
        <v>31</v>
      </c>
      <c r="I6" s="8" t="s">
        <v>32</v>
      </c>
      <c r="J6" s="8" t="s">
        <v>33</v>
      </c>
      <c r="K6" s="11" t="s">
        <v>34</v>
      </c>
      <c r="L6" s="11" t="s">
        <v>35</v>
      </c>
    </row>
    <row r="7" ht="28" spans="1:12">
      <c r="A7" s="8" t="s">
        <v>36</v>
      </c>
      <c r="B7" s="11" t="s">
        <v>37</v>
      </c>
      <c r="C7" s="11" t="s">
        <v>38</v>
      </c>
      <c r="D7" s="11" t="s">
        <v>39</v>
      </c>
      <c r="E7" s="8">
        <v>2025</v>
      </c>
      <c r="F7" s="8" t="s">
        <v>19</v>
      </c>
      <c r="G7" s="11" t="s">
        <v>40</v>
      </c>
      <c r="H7" s="11" t="s">
        <v>41</v>
      </c>
      <c r="I7" s="8" t="s">
        <v>42</v>
      </c>
      <c r="J7" s="8" t="s">
        <v>43</v>
      </c>
      <c r="K7" s="11" t="s">
        <v>44</v>
      </c>
      <c r="L7" s="11" t="s">
        <v>45</v>
      </c>
    </row>
    <row r="8" ht="28" spans="1:12">
      <c r="A8" s="8" t="s">
        <v>46</v>
      </c>
      <c r="B8" s="11" t="s">
        <v>47</v>
      </c>
      <c r="C8" s="11" t="s">
        <v>48</v>
      </c>
      <c r="D8" s="11" t="s">
        <v>49</v>
      </c>
      <c r="E8" s="8">
        <v>2026</v>
      </c>
      <c r="F8" s="8" t="s">
        <v>19</v>
      </c>
      <c r="G8" s="11" t="s">
        <v>50</v>
      </c>
      <c r="H8" s="11" t="s">
        <v>41</v>
      </c>
      <c r="I8" s="8" t="s">
        <v>32</v>
      </c>
      <c r="J8" s="8" t="s">
        <v>23</v>
      </c>
      <c r="K8" s="11" t="s">
        <v>51</v>
      </c>
      <c r="L8" s="11" t="s">
        <v>52</v>
      </c>
    </row>
    <row r="9" ht="28" spans="1:12">
      <c r="A9" s="8" t="s">
        <v>53</v>
      </c>
      <c r="B9" s="11" t="s">
        <v>54</v>
      </c>
      <c r="C9" s="11" t="s">
        <v>55</v>
      </c>
      <c r="D9" s="11" t="s">
        <v>56</v>
      </c>
      <c r="E9" s="8">
        <v>2026</v>
      </c>
      <c r="F9" s="8" t="s">
        <v>19</v>
      </c>
      <c r="G9" s="11" t="s">
        <v>57</v>
      </c>
      <c r="H9" s="11" t="s">
        <v>41</v>
      </c>
      <c r="I9" s="8" t="s">
        <v>58</v>
      </c>
      <c r="J9" s="8" t="s">
        <v>59</v>
      </c>
      <c r="K9" s="11" t="s">
        <v>60</v>
      </c>
      <c r="L9" s="11" t="s">
        <v>61</v>
      </c>
    </row>
    <row r="10" ht="42" spans="1:12">
      <c r="A10" s="8" t="s">
        <v>62</v>
      </c>
      <c r="B10" s="11" t="s">
        <v>63</v>
      </c>
      <c r="C10" s="11" t="s">
        <v>64</v>
      </c>
      <c r="D10" s="11" t="s">
        <v>65</v>
      </c>
      <c r="E10" s="8">
        <v>2025</v>
      </c>
      <c r="F10" s="8" t="s">
        <v>19</v>
      </c>
      <c r="G10" s="11" t="s">
        <v>66</v>
      </c>
      <c r="H10" s="11" t="s">
        <v>41</v>
      </c>
      <c r="I10" s="8" t="s">
        <v>32</v>
      </c>
      <c r="J10" s="8" t="s">
        <v>23</v>
      </c>
      <c r="K10" s="11" t="s">
        <v>67</v>
      </c>
      <c r="L10" s="11" t="s">
        <v>68</v>
      </c>
    </row>
    <row r="11" ht="28" spans="1:12">
      <c r="A11" s="8" t="s">
        <v>69</v>
      </c>
      <c r="B11" s="11" t="s">
        <v>70</v>
      </c>
      <c r="C11" s="11" t="s">
        <v>71</v>
      </c>
      <c r="D11" s="11" t="s">
        <v>72</v>
      </c>
      <c r="E11" s="8">
        <v>2026</v>
      </c>
      <c r="F11" s="8" t="s">
        <v>19</v>
      </c>
      <c r="G11" s="11" t="s">
        <v>50</v>
      </c>
      <c r="H11" s="11" t="s">
        <v>31</v>
      </c>
      <c r="I11" s="8" t="s">
        <v>73</v>
      </c>
      <c r="J11" s="8" t="s">
        <v>33</v>
      </c>
      <c r="K11" s="11" t="s">
        <v>74</v>
      </c>
      <c r="L11" s="11" t="s">
        <v>75</v>
      </c>
    </row>
    <row r="12" ht="28" spans="1:12">
      <c r="A12" s="8" t="s">
        <v>76</v>
      </c>
      <c r="B12" s="11" t="s">
        <v>77</v>
      </c>
      <c r="C12" s="11" t="s">
        <v>78</v>
      </c>
      <c r="D12" s="11" t="s">
        <v>79</v>
      </c>
      <c r="E12" s="8">
        <v>2004</v>
      </c>
      <c r="F12" s="8" t="s">
        <v>80</v>
      </c>
      <c r="G12" s="11" t="s">
        <v>81</v>
      </c>
      <c r="H12" s="11" t="s">
        <v>21</v>
      </c>
      <c r="I12" s="8" t="s">
        <v>82</v>
      </c>
      <c r="J12" s="8" t="s">
        <v>23</v>
      </c>
      <c r="K12" s="11" t="s">
        <v>83</v>
      </c>
      <c r="L12" s="11" t="s">
        <v>2</v>
      </c>
    </row>
    <row r="13" ht="28" spans="1:12">
      <c r="A13" s="8" t="s">
        <v>84</v>
      </c>
      <c r="B13" s="11" t="s">
        <v>85</v>
      </c>
      <c r="C13" s="11" t="s">
        <v>86</v>
      </c>
      <c r="D13" s="11" t="s">
        <v>87</v>
      </c>
      <c r="E13" s="8">
        <v>2013</v>
      </c>
      <c r="F13" s="8" t="s">
        <v>80</v>
      </c>
      <c r="G13" s="11" t="s">
        <v>88</v>
      </c>
      <c r="H13" s="11" t="s">
        <v>21</v>
      </c>
      <c r="I13" s="8" t="s">
        <v>82</v>
      </c>
      <c r="J13" s="8" t="s">
        <v>43</v>
      </c>
      <c r="K13" s="11" t="s">
        <v>89</v>
      </c>
      <c r="L13" s="11" t="s">
        <v>90</v>
      </c>
    </row>
    <row r="14" ht="28" spans="1:12">
      <c r="A14" s="8" t="s">
        <v>91</v>
      </c>
      <c r="B14" s="11" t="s">
        <v>92</v>
      </c>
      <c r="C14" s="11" t="s">
        <v>93</v>
      </c>
      <c r="D14" s="11" t="s">
        <v>94</v>
      </c>
      <c r="E14" s="8">
        <v>2017</v>
      </c>
      <c r="F14" s="8" t="s">
        <v>19</v>
      </c>
      <c r="G14" s="11" t="s">
        <v>95</v>
      </c>
      <c r="H14" s="11" t="s">
        <v>21</v>
      </c>
      <c r="I14" s="8" t="s">
        <v>82</v>
      </c>
      <c r="J14" s="8" t="s">
        <v>43</v>
      </c>
      <c r="K14" s="11" t="s">
        <v>96</v>
      </c>
      <c r="L14" s="11" t="s">
        <v>97</v>
      </c>
    </row>
    <row r="15" ht="42" spans="1:12">
      <c r="A15" s="8" t="s">
        <v>98</v>
      </c>
      <c r="B15" s="11" t="s">
        <v>99</v>
      </c>
      <c r="C15" s="11" t="s">
        <v>100</v>
      </c>
      <c r="D15" s="11" t="s">
        <v>101</v>
      </c>
      <c r="E15" s="8">
        <v>2014</v>
      </c>
      <c r="F15" s="8" t="s">
        <v>19</v>
      </c>
      <c r="G15" s="11" t="s">
        <v>102</v>
      </c>
      <c r="H15" s="11" t="s">
        <v>21</v>
      </c>
      <c r="I15" s="8" t="s">
        <v>22</v>
      </c>
      <c r="J15" s="8" t="s">
        <v>23</v>
      </c>
      <c r="K15" s="11" t="s">
        <v>103</v>
      </c>
      <c r="L15" s="11" t="s">
        <v>104</v>
      </c>
    </row>
    <row r="16" ht="42" spans="1:12">
      <c r="A16" s="8" t="s">
        <v>105</v>
      </c>
      <c r="B16" s="11" t="s">
        <v>106</v>
      </c>
      <c r="C16" s="11" t="s">
        <v>107</v>
      </c>
      <c r="D16" s="11" t="s">
        <v>108</v>
      </c>
      <c r="E16" s="8">
        <v>2025</v>
      </c>
      <c r="F16" s="8" t="s">
        <v>19</v>
      </c>
      <c r="G16" s="11" t="s">
        <v>50</v>
      </c>
      <c r="H16" s="11" t="s">
        <v>21</v>
      </c>
      <c r="I16" s="8" t="s">
        <v>22</v>
      </c>
      <c r="J16" s="8" t="s">
        <v>23</v>
      </c>
      <c r="K16" s="11" t="s">
        <v>109</v>
      </c>
      <c r="L16" s="11" t="s">
        <v>110</v>
      </c>
    </row>
    <row r="17" ht="28" spans="1:12">
      <c r="A17" s="8" t="s">
        <v>111</v>
      </c>
      <c r="B17" s="11" t="s">
        <v>112</v>
      </c>
      <c r="C17" s="11" t="s">
        <v>113</v>
      </c>
      <c r="D17" s="11" t="s">
        <v>114</v>
      </c>
      <c r="E17" s="8">
        <v>2025</v>
      </c>
      <c r="F17" s="8" t="s">
        <v>19</v>
      </c>
      <c r="G17" s="11" t="s">
        <v>20</v>
      </c>
      <c r="H17" s="11" t="s">
        <v>21</v>
      </c>
      <c r="I17" s="8" t="s">
        <v>22</v>
      </c>
      <c r="J17" s="8" t="s">
        <v>23</v>
      </c>
      <c r="K17" s="11" t="s">
        <v>115</v>
      </c>
      <c r="L17" s="11" t="s">
        <v>116</v>
      </c>
    </row>
    <row r="18" ht="42" spans="1:12">
      <c r="A18" s="8" t="s">
        <v>117</v>
      </c>
      <c r="B18" s="11" t="s">
        <v>118</v>
      </c>
      <c r="C18" s="11" t="s">
        <v>119</v>
      </c>
      <c r="D18" s="11" t="s">
        <v>120</v>
      </c>
      <c r="E18" s="8">
        <v>2026</v>
      </c>
      <c r="F18" s="8" t="s">
        <v>19</v>
      </c>
      <c r="G18" s="11" t="s">
        <v>121</v>
      </c>
      <c r="H18" s="11" t="s">
        <v>21</v>
      </c>
      <c r="I18" s="8" t="s">
        <v>22</v>
      </c>
      <c r="J18" s="8" t="s">
        <v>23</v>
      </c>
      <c r="K18" s="11" t="s">
        <v>122</v>
      </c>
      <c r="L18" s="11" t="s">
        <v>123</v>
      </c>
    </row>
    <row r="19" ht="28" spans="1:12">
      <c r="A19" s="8" t="s">
        <v>124</v>
      </c>
      <c r="B19" s="11" t="s">
        <v>125</v>
      </c>
      <c r="C19" s="11" t="s">
        <v>126</v>
      </c>
      <c r="D19" s="11" t="s">
        <v>127</v>
      </c>
      <c r="E19" s="8">
        <v>2021</v>
      </c>
      <c r="F19" s="8" t="s">
        <v>19</v>
      </c>
      <c r="G19" s="11" t="s">
        <v>128</v>
      </c>
      <c r="H19" s="11" t="s">
        <v>21</v>
      </c>
      <c r="I19" s="8" t="s">
        <v>22</v>
      </c>
      <c r="J19" s="8" t="s">
        <v>23</v>
      </c>
      <c r="K19" s="11" t="s">
        <v>129</v>
      </c>
      <c r="L19" s="11" t="s">
        <v>130</v>
      </c>
    </row>
    <row r="20" ht="28" spans="1:12">
      <c r="A20" s="8" t="s">
        <v>131</v>
      </c>
      <c r="B20" s="11" t="s">
        <v>132</v>
      </c>
      <c r="C20" s="11" t="s">
        <v>133</v>
      </c>
      <c r="D20" s="11" t="s">
        <v>134</v>
      </c>
      <c r="E20" s="8">
        <v>2026</v>
      </c>
      <c r="F20" s="8" t="s">
        <v>19</v>
      </c>
      <c r="G20" s="11" t="s">
        <v>50</v>
      </c>
      <c r="H20" s="11" t="s">
        <v>41</v>
      </c>
      <c r="I20" s="8" t="s">
        <v>32</v>
      </c>
      <c r="J20" s="8" t="s">
        <v>23</v>
      </c>
      <c r="K20" s="11" t="s">
        <v>135</v>
      </c>
      <c r="L20" s="11" t="s">
        <v>136</v>
      </c>
    </row>
    <row r="21" ht="28" spans="1:12">
      <c r="A21" s="8" t="s">
        <v>137</v>
      </c>
      <c r="B21" s="11" t="s">
        <v>138</v>
      </c>
      <c r="C21" s="11" t="s">
        <v>48</v>
      </c>
      <c r="D21" s="11" t="s">
        <v>139</v>
      </c>
      <c r="E21" s="8">
        <v>2026</v>
      </c>
      <c r="F21" s="8" t="s">
        <v>19</v>
      </c>
      <c r="G21" s="11" t="s">
        <v>50</v>
      </c>
      <c r="H21" s="11" t="s">
        <v>41</v>
      </c>
      <c r="I21" s="8" t="s">
        <v>58</v>
      </c>
      <c r="J21" s="8" t="s">
        <v>43</v>
      </c>
      <c r="K21" s="11" t="s">
        <v>140</v>
      </c>
      <c r="L21" s="11" t="s">
        <v>141</v>
      </c>
    </row>
    <row r="22" ht="28" spans="1:12">
      <c r="A22" s="8" t="s">
        <v>142</v>
      </c>
      <c r="B22" s="11" t="s">
        <v>143</v>
      </c>
      <c r="C22" s="11" t="s">
        <v>144</v>
      </c>
      <c r="D22" s="11" t="s">
        <v>145</v>
      </c>
      <c r="E22" s="8">
        <v>2026</v>
      </c>
      <c r="F22" s="8" t="s">
        <v>19</v>
      </c>
      <c r="G22" s="11" t="s">
        <v>50</v>
      </c>
      <c r="H22" s="11" t="s">
        <v>41</v>
      </c>
      <c r="I22" s="8" t="s">
        <v>146</v>
      </c>
      <c r="J22" s="8" t="s">
        <v>23</v>
      </c>
      <c r="K22" s="11" t="s">
        <v>147</v>
      </c>
      <c r="L22" s="11" t="s">
        <v>148</v>
      </c>
    </row>
    <row r="23" ht="28" spans="1:12">
      <c r="A23" s="8" t="s">
        <v>149</v>
      </c>
      <c r="B23" s="11" t="s">
        <v>150</v>
      </c>
      <c r="C23" s="11" t="s">
        <v>151</v>
      </c>
      <c r="D23" s="11" t="s">
        <v>152</v>
      </c>
      <c r="E23" s="8">
        <v>2023</v>
      </c>
      <c r="F23" s="8" t="s">
        <v>19</v>
      </c>
      <c r="G23" s="11" t="s">
        <v>153</v>
      </c>
      <c r="H23" s="11" t="s">
        <v>41</v>
      </c>
      <c r="I23" s="8" t="s">
        <v>32</v>
      </c>
      <c r="J23" s="8" t="s">
        <v>59</v>
      </c>
      <c r="K23" s="11" t="s">
        <v>154</v>
      </c>
      <c r="L23" s="11" t="s">
        <v>2</v>
      </c>
    </row>
    <row r="24" ht="28" spans="1:12">
      <c r="A24" s="8" t="s">
        <v>155</v>
      </c>
      <c r="B24" s="11" t="s">
        <v>156</v>
      </c>
      <c r="C24" s="11" t="s">
        <v>157</v>
      </c>
      <c r="D24" s="11" t="s">
        <v>158</v>
      </c>
      <c r="E24" s="8">
        <v>2022</v>
      </c>
      <c r="F24" s="8" t="s">
        <v>19</v>
      </c>
      <c r="G24" s="11" t="s">
        <v>159</v>
      </c>
      <c r="H24" s="11" t="s">
        <v>41</v>
      </c>
      <c r="I24" s="8" t="s">
        <v>42</v>
      </c>
      <c r="J24" s="8" t="s">
        <v>23</v>
      </c>
      <c r="K24" s="11" t="s">
        <v>160</v>
      </c>
      <c r="L24" s="11" t="s">
        <v>161</v>
      </c>
    </row>
    <row r="25" ht="56" spans="1:12">
      <c r="A25" s="8" t="s">
        <v>162</v>
      </c>
      <c r="B25" s="11" t="s">
        <v>163</v>
      </c>
      <c r="C25" s="11" t="s">
        <v>164</v>
      </c>
      <c r="D25" s="11" t="s">
        <v>165</v>
      </c>
      <c r="E25" s="8">
        <v>2023</v>
      </c>
      <c r="F25" s="8" t="s">
        <v>19</v>
      </c>
      <c r="G25" s="11" t="s">
        <v>166</v>
      </c>
      <c r="H25" s="11" t="s">
        <v>41</v>
      </c>
      <c r="I25" s="8" t="s">
        <v>42</v>
      </c>
      <c r="J25" s="8" t="s">
        <v>167</v>
      </c>
      <c r="K25" s="11" t="s">
        <v>168</v>
      </c>
      <c r="L25" s="11" t="s">
        <v>169</v>
      </c>
    </row>
    <row r="26" ht="42" spans="1:12">
      <c r="A26" s="8" t="s">
        <v>170</v>
      </c>
      <c r="B26" s="11" t="s">
        <v>171</v>
      </c>
      <c r="C26" s="11" t="s">
        <v>172</v>
      </c>
      <c r="D26" s="11" t="s">
        <v>173</v>
      </c>
      <c r="E26" s="8">
        <v>2024</v>
      </c>
      <c r="F26" s="8" t="s">
        <v>174</v>
      </c>
      <c r="G26" s="11" t="s">
        <v>175</v>
      </c>
      <c r="H26" s="11" t="s">
        <v>41</v>
      </c>
      <c r="I26" s="8" t="s">
        <v>42</v>
      </c>
      <c r="J26" s="8" t="s">
        <v>23</v>
      </c>
      <c r="K26" s="11" t="s">
        <v>176</v>
      </c>
      <c r="L26" s="11" t="s">
        <v>177</v>
      </c>
    </row>
    <row r="27" ht="28" spans="1:12">
      <c r="A27" s="8" t="s">
        <v>178</v>
      </c>
      <c r="B27" s="11" t="s">
        <v>179</v>
      </c>
      <c r="C27" s="11" t="s">
        <v>180</v>
      </c>
      <c r="D27" s="11" t="s">
        <v>181</v>
      </c>
      <c r="E27" s="8">
        <v>2025</v>
      </c>
      <c r="F27" s="8" t="s">
        <v>19</v>
      </c>
      <c r="G27" s="11" t="s">
        <v>50</v>
      </c>
      <c r="H27" s="11" t="s">
        <v>41</v>
      </c>
      <c r="I27" s="8" t="s">
        <v>42</v>
      </c>
      <c r="J27" s="8" t="s">
        <v>43</v>
      </c>
      <c r="K27" s="11" t="s">
        <v>182</v>
      </c>
      <c r="L27" s="11" t="s">
        <v>183</v>
      </c>
    </row>
    <row r="28" ht="28" spans="1:12">
      <c r="A28" s="8" t="s">
        <v>184</v>
      </c>
      <c r="B28" s="11" t="s">
        <v>185</v>
      </c>
      <c r="C28" s="11" t="s">
        <v>48</v>
      </c>
      <c r="D28" s="11" t="s">
        <v>186</v>
      </c>
      <c r="E28" s="8">
        <v>2026</v>
      </c>
      <c r="F28" s="8" t="s">
        <v>19</v>
      </c>
      <c r="G28" s="11" t="s">
        <v>50</v>
      </c>
      <c r="H28" s="11" t="s">
        <v>41</v>
      </c>
      <c r="I28" s="8" t="s">
        <v>42</v>
      </c>
      <c r="J28" s="8" t="s">
        <v>43</v>
      </c>
      <c r="K28" s="11" t="s">
        <v>187</v>
      </c>
      <c r="L28" s="11" t="s">
        <v>188</v>
      </c>
    </row>
    <row r="29" ht="42" spans="1:12">
      <c r="A29" s="8" t="s">
        <v>189</v>
      </c>
      <c r="B29" s="11" t="s">
        <v>190</v>
      </c>
      <c r="C29" s="11" t="s">
        <v>191</v>
      </c>
      <c r="D29" s="11" t="s">
        <v>192</v>
      </c>
      <c r="E29" s="8">
        <v>2026</v>
      </c>
      <c r="F29" s="8" t="s">
        <v>19</v>
      </c>
      <c r="G29" s="11" t="s">
        <v>50</v>
      </c>
      <c r="H29" s="11" t="s">
        <v>41</v>
      </c>
      <c r="I29" s="8" t="s">
        <v>42</v>
      </c>
      <c r="J29" s="8" t="s">
        <v>43</v>
      </c>
      <c r="K29" s="11" t="s">
        <v>193</v>
      </c>
      <c r="L29" s="11" t="s">
        <v>194</v>
      </c>
    </row>
    <row r="30" ht="42" spans="1:12">
      <c r="A30" s="8" t="s">
        <v>195</v>
      </c>
      <c r="B30" s="11" t="s">
        <v>196</v>
      </c>
      <c r="C30" s="11" t="s">
        <v>180</v>
      </c>
      <c r="D30" s="11" t="s">
        <v>197</v>
      </c>
      <c r="E30" s="8">
        <v>2025</v>
      </c>
      <c r="F30" s="8" t="s">
        <v>174</v>
      </c>
      <c r="G30" s="11" t="s">
        <v>198</v>
      </c>
      <c r="H30" s="11" t="s">
        <v>41</v>
      </c>
      <c r="I30" s="8" t="s">
        <v>32</v>
      </c>
      <c r="J30" s="8" t="s">
        <v>23</v>
      </c>
      <c r="K30" s="11" t="s">
        <v>199</v>
      </c>
      <c r="L30" s="11" t="s">
        <v>200</v>
      </c>
    </row>
    <row r="31" ht="42" spans="1:12">
      <c r="A31" s="8" t="s">
        <v>201</v>
      </c>
      <c r="B31" s="11" t="s">
        <v>202</v>
      </c>
      <c r="C31" s="11" t="s">
        <v>180</v>
      </c>
      <c r="D31" s="11" t="s">
        <v>203</v>
      </c>
      <c r="E31" s="8">
        <v>2025</v>
      </c>
      <c r="F31" s="8" t="s">
        <v>174</v>
      </c>
      <c r="G31" s="11" t="s">
        <v>198</v>
      </c>
      <c r="H31" s="11" t="s">
        <v>41</v>
      </c>
      <c r="I31" s="8" t="s">
        <v>32</v>
      </c>
      <c r="J31" s="8" t="s">
        <v>23</v>
      </c>
      <c r="K31" s="11" t="s">
        <v>204</v>
      </c>
      <c r="L31" s="11" t="s">
        <v>205</v>
      </c>
    </row>
    <row r="32" ht="28" spans="1:12">
      <c r="A32" s="8" t="s">
        <v>206</v>
      </c>
      <c r="B32" s="11" t="s">
        <v>207</v>
      </c>
      <c r="C32" s="11" t="s">
        <v>144</v>
      </c>
      <c r="D32" s="11" t="s">
        <v>208</v>
      </c>
      <c r="E32" s="8">
        <v>2026</v>
      </c>
      <c r="F32" s="8" t="s">
        <v>19</v>
      </c>
      <c r="G32" s="11" t="s">
        <v>50</v>
      </c>
      <c r="H32" s="11" t="s">
        <v>41</v>
      </c>
      <c r="I32" s="8" t="s">
        <v>32</v>
      </c>
      <c r="J32" s="8" t="s">
        <v>23</v>
      </c>
      <c r="K32" s="11" t="s">
        <v>209</v>
      </c>
      <c r="L32" s="11" t="s">
        <v>210</v>
      </c>
    </row>
    <row r="33" ht="42" spans="1:12">
      <c r="A33" s="8" t="s">
        <v>211</v>
      </c>
      <c r="B33" s="11" t="s">
        <v>212</v>
      </c>
      <c r="C33" s="11" t="s">
        <v>213</v>
      </c>
      <c r="D33" s="11" t="s">
        <v>214</v>
      </c>
      <c r="E33" s="8">
        <v>2024</v>
      </c>
      <c r="F33" s="8" t="s">
        <v>174</v>
      </c>
      <c r="G33" s="11" t="s">
        <v>215</v>
      </c>
      <c r="H33" s="11" t="s">
        <v>41</v>
      </c>
      <c r="I33" s="8" t="s">
        <v>42</v>
      </c>
      <c r="J33" s="8" t="s">
        <v>23</v>
      </c>
      <c r="K33" s="11" t="s">
        <v>216</v>
      </c>
      <c r="L33" s="11" t="s">
        <v>217</v>
      </c>
    </row>
    <row r="34" ht="42" spans="1:12">
      <c r="A34" s="8" t="s">
        <v>218</v>
      </c>
      <c r="B34" s="11" t="s">
        <v>219</v>
      </c>
      <c r="C34" s="11" t="s">
        <v>220</v>
      </c>
      <c r="D34" s="11" t="s">
        <v>221</v>
      </c>
      <c r="E34" s="8">
        <v>2025</v>
      </c>
      <c r="F34" s="8" t="s">
        <v>19</v>
      </c>
      <c r="G34" s="11" t="s">
        <v>50</v>
      </c>
      <c r="H34" s="11" t="s">
        <v>41</v>
      </c>
      <c r="I34" s="8" t="s">
        <v>42</v>
      </c>
      <c r="J34" s="8" t="s">
        <v>23</v>
      </c>
      <c r="K34" s="11" t="s">
        <v>222</v>
      </c>
      <c r="L34" s="11" t="s">
        <v>223</v>
      </c>
    </row>
    <row r="35" ht="42" spans="1:12">
      <c r="A35" s="8" t="s">
        <v>224</v>
      </c>
      <c r="B35" s="11" t="s">
        <v>225</v>
      </c>
      <c r="C35" s="11" t="s">
        <v>226</v>
      </c>
      <c r="D35" s="11" t="s">
        <v>227</v>
      </c>
      <c r="E35" s="8">
        <v>2026</v>
      </c>
      <c r="F35" s="8" t="s">
        <v>19</v>
      </c>
      <c r="G35" s="11" t="s">
        <v>50</v>
      </c>
      <c r="H35" s="11" t="s">
        <v>41</v>
      </c>
      <c r="I35" s="8" t="s">
        <v>42</v>
      </c>
      <c r="J35" s="8" t="s">
        <v>43</v>
      </c>
      <c r="K35" s="11" t="s">
        <v>228</v>
      </c>
      <c r="L35" s="11" t="s">
        <v>229</v>
      </c>
    </row>
    <row r="36" ht="42" spans="1:12">
      <c r="A36" s="8" t="s">
        <v>230</v>
      </c>
      <c r="B36" s="11" t="s">
        <v>231</v>
      </c>
      <c r="C36" s="11" t="s">
        <v>232</v>
      </c>
      <c r="D36" s="11" t="s">
        <v>233</v>
      </c>
      <c r="E36" s="8">
        <v>2026</v>
      </c>
      <c r="F36" s="8" t="s">
        <v>19</v>
      </c>
      <c r="G36" s="11" t="s">
        <v>50</v>
      </c>
      <c r="H36" s="11" t="s">
        <v>41</v>
      </c>
      <c r="I36" s="8" t="s">
        <v>42</v>
      </c>
      <c r="J36" s="8" t="s">
        <v>23</v>
      </c>
      <c r="K36" s="11" t="s">
        <v>234</v>
      </c>
      <c r="L36" s="11" t="s">
        <v>235</v>
      </c>
    </row>
    <row r="37" ht="28" spans="1:12">
      <c r="A37" s="8" t="s">
        <v>236</v>
      </c>
      <c r="B37" s="11" t="s">
        <v>237</v>
      </c>
      <c r="C37" s="11" t="s">
        <v>238</v>
      </c>
      <c r="D37" s="11" t="s">
        <v>239</v>
      </c>
      <c r="E37" s="8">
        <v>2026</v>
      </c>
      <c r="F37" s="8" t="s">
        <v>19</v>
      </c>
      <c r="G37" s="11" t="s">
        <v>50</v>
      </c>
      <c r="H37" s="11" t="s">
        <v>41</v>
      </c>
      <c r="I37" s="8" t="s">
        <v>42</v>
      </c>
      <c r="J37" s="8" t="s">
        <v>23</v>
      </c>
      <c r="K37" s="11" t="s">
        <v>240</v>
      </c>
      <c r="L37" s="11" t="s">
        <v>241</v>
      </c>
    </row>
    <row r="38" ht="42" spans="1:12">
      <c r="A38" s="8" t="s">
        <v>242</v>
      </c>
      <c r="B38" s="11" t="s">
        <v>243</v>
      </c>
      <c r="C38" s="11" t="s">
        <v>244</v>
      </c>
      <c r="D38" s="11" t="s">
        <v>245</v>
      </c>
      <c r="E38" s="8">
        <v>2025</v>
      </c>
      <c r="F38" s="8" t="s">
        <v>19</v>
      </c>
      <c r="G38" s="11" t="s">
        <v>50</v>
      </c>
      <c r="H38" s="11" t="s">
        <v>31</v>
      </c>
      <c r="I38" s="8" t="s">
        <v>42</v>
      </c>
      <c r="J38" s="8" t="s">
        <v>33</v>
      </c>
      <c r="K38" s="11" t="s">
        <v>246</v>
      </c>
      <c r="L38" s="11" t="s">
        <v>247</v>
      </c>
    </row>
    <row r="39" ht="42" spans="1:12">
      <c r="A39" s="8" t="s">
        <v>248</v>
      </c>
      <c r="B39" s="11" t="s">
        <v>249</v>
      </c>
      <c r="C39" s="11" t="s">
        <v>250</v>
      </c>
      <c r="D39" s="11" t="s">
        <v>251</v>
      </c>
      <c r="E39" s="8">
        <v>2021</v>
      </c>
      <c r="F39" s="8" t="s">
        <v>174</v>
      </c>
      <c r="G39" s="11" t="s">
        <v>252</v>
      </c>
      <c r="H39" s="11" t="s">
        <v>31</v>
      </c>
      <c r="I39" s="8" t="s">
        <v>42</v>
      </c>
      <c r="J39" s="8" t="s">
        <v>33</v>
      </c>
      <c r="K39" s="11" t="s">
        <v>253</v>
      </c>
      <c r="L39" s="11" t="s">
        <v>254</v>
      </c>
    </row>
    <row r="40" ht="28" spans="1:12">
      <c r="A40" s="8" t="s">
        <v>255</v>
      </c>
      <c r="B40" s="11" t="s">
        <v>256</v>
      </c>
      <c r="C40" s="11" t="s">
        <v>257</v>
      </c>
      <c r="D40" s="11" t="s">
        <v>258</v>
      </c>
      <c r="E40" s="8">
        <v>2023</v>
      </c>
      <c r="F40" s="8" t="s">
        <v>19</v>
      </c>
      <c r="G40" s="11" t="s">
        <v>259</v>
      </c>
      <c r="H40" s="11" t="s">
        <v>41</v>
      </c>
      <c r="I40" s="8" t="s">
        <v>42</v>
      </c>
      <c r="J40" s="8" t="s">
        <v>23</v>
      </c>
      <c r="K40" s="11" t="s">
        <v>260</v>
      </c>
      <c r="L40" s="11" t="s">
        <v>261</v>
      </c>
    </row>
    <row r="41" ht="28" spans="1:12">
      <c r="A41" s="8" t="s">
        <v>262</v>
      </c>
      <c r="B41" s="11" t="s">
        <v>263</v>
      </c>
      <c r="C41" s="11" t="s">
        <v>264</v>
      </c>
      <c r="D41" s="11" t="s">
        <v>265</v>
      </c>
      <c r="E41" s="8">
        <v>2025</v>
      </c>
      <c r="F41" s="8" t="s">
        <v>19</v>
      </c>
      <c r="G41" s="11" t="s">
        <v>266</v>
      </c>
      <c r="H41" s="11" t="s">
        <v>41</v>
      </c>
      <c r="I41" s="8" t="s">
        <v>42</v>
      </c>
      <c r="J41" s="8" t="s">
        <v>23</v>
      </c>
      <c r="K41" s="11" t="s">
        <v>267</v>
      </c>
      <c r="L41" s="11" t="s">
        <v>268</v>
      </c>
    </row>
    <row r="42" ht="28" spans="1:12">
      <c r="A42" s="8" t="s">
        <v>269</v>
      </c>
      <c r="B42" s="11" t="s">
        <v>270</v>
      </c>
      <c r="C42" s="11" t="s">
        <v>271</v>
      </c>
      <c r="D42" s="11" t="s">
        <v>272</v>
      </c>
      <c r="E42" s="8">
        <v>2026</v>
      </c>
      <c r="F42" s="8" t="s">
        <v>19</v>
      </c>
      <c r="G42" s="11" t="s">
        <v>50</v>
      </c>
      <c r="H42" s="11" t="s">
        <v>41</v>
      </c>
      <c r="I42" s="8" t="s">
        <v>42</v>
      </c>
      <c r="J42" s="8" t="s">
        <v>23</v>
      </c>
      <c r="K42" s="11" t="s">
        <v>273</v>
      </c>
      <c r="L42" s="11" t="s">
        <v>274</v>
      </c>
    </row>
    <row r="43" ht="42" spans="1:12">
      <c r="A43" s="8" t="s">
        <v>275</v>
      </c>
      <c r="B43" s="11" t="s">
        <v>276</v>
      </c>
      <c r="C43" s="11" t="s">
        <v>277</v>
      </c>
      <c r="D43" s="11" t="s">
        <v>278</v>
      </c>
      <c r="E43" s="8">
        <v>2025</v>
      </c>
      <c r="F43" s="8" t="s">
        <v>174</v>
      </c>
      <c r="G43" s="11" t="s">
        <v>279</v>
      </c>
      <c r="H43" s="11" t="s">
        <v>41</v>
      </c>
      <c r="I43" s="8" t="s">
        <v>42</v>
      </c>
      <c r="J43" s="8" t="s">
        <v>23</v>
      </c>
      <c r="K43" s="11" t="s">
        <v>280</v>
      </c>
      <c r="L43" s="11" t="s">
        <v>2</v>
      </c>
    </row>
    <row r="44" ht="28" spans="1:12">
      <c r="A44" s="8" t="s">
        <v>281</v>
      </c>
      <c r="B44" s="11" t="s">
        <v>282</v>
      </c>
      <c r="C44" s="11" t="s">
        <v>107</v>
      </c>
      <c r="D44" s="11" t="s">
        <v>283</v>
      </c>
      <c r="E44" s="8">
        <v>2025</v>
      </c>
      <c r="F44" s="8" t="s">
        <v>19</v>
      </c>
      <c r="G44" s="11" t="s">
        <v>50</v>
      </c>
      <c r="H44" s="11" t="s">
        <v>31</v>
      </c>
      <c r="I44" s="8" t="s">
        <v>42</v>
      </c>
      <c r="J44" s="8" t="s">
        <v>33</v>
      </c>
      <c r="K44" s="11" t="s">
        <v>284</v>
      </c>
      <c r="L44" s="11" t="s">
        <v>285</v>
      </c>
    </row>
    <row r="45" ht="28" spans="1:12">
      <c r="A45" s="8" t="s">
        <v>286</v>
      </c>
      <c r="B45" s="11" t="s">
        <v>287</v>
      </c>
      <c r="C45" s="11" t="s">
        <v>288</v>
      </c>
      <c r="D45" s="11" t="s">
        <v>289</v>
      </c>
      <c r="E45" s="8">
        <v>2020</v>
      </c>
      <c r="F45" s="8" t="s">
        <v>19</v>
      </c>
      <c r="G45" s="11" t="s">
        <v>290</v>
      </c>
      <c r="H45" s="11" t="s">
        <v>31</v>
      </c>
      <c r="I45" s="8" t="s">
        <v>42</v>
      </c>
      <c r="J45" s="8" t="s">
        <v>33</v>
      </c>
      <c r="K45" s="11" t="s">
        <v>291</v>
      </c>
      <c r="L45" s="11" t="s">
        <v>292</v>
      </c>
    </row>
    <row r="46" ht="28" spans="1:12">
      <c r="A46" s="8" t="s">
        <v>293</v>
      </c>
      <c r="B46" s="11" t="s">
        <v>294</v>
      </c>
      <c r="C46" s="11" t="s">
        <v>126</v>
      </c>
      <c r="D46" s="11" t="s">
        <v>295</v>
      </c>
      <c r="E46" s="8">
        <v>2021</v>
      </c>
      <c r="F46" s="8" t="s">
        <v>19</v>
      </c>
      <c r="G46" s="11" t="s">
        <v>296</v>
      </c>
      <c r="H46" s="11" t="s">
        <v>31</v>
      </c>
      <c r="I46" s="8" t="s">
        <v>42</v>
      </c>
      <c r="J46" s="8" t="s">
        <v>33</v>
      </c>
      <c r="K46" s="11" t="s">
        <v>297</v>
      </c>
      <c r="L46" s="11" t="s">
        <v>298</v>
      </c>
    </row>
    <row r="47" ht="42" spans="1:12">
      <c r="A47" s="8" t="s">
        <v>299</v>
      </c>
      <c r="B47" s="11" t="s">
        <v>300</v>
      </c>
      <c r="C47" s="11" t="s">
        <v>301</v>
      </c>
      <c r="D47" s="11" t="s">
        <v>302</v>
      </c>
      <c r="E47" s="8">
        <v>2026</v>
      </c>
      <c r="F47" s="8" t="s">
        <v>174</v>
      </c>
      <c r="G47" s="11" t="s">
        <v>303</v>
      </c>
      <c r="H47" s="11" t="s">
        <v>31</v>
      </c>
      <c r="I47" s="8" t="s">
        <v>73</v>
      </c>
      <c r="J47" s="8" t="s">
        <v>33</v>
      </c>
      <c r="K47" s="11" t="s">
        <v>304</v>
      </c>
      <c r="L47" s="11" t="s">
        <v>2</v>
      </c>
    </row>
    <row r="48" ht="28" spans="1:12">
      <c r="A48" s="8" t="s">
        <v>305</v>
      </c>
      <c r="B48" s="11" t="s">
        <v>306</v>
      </c>
      <c r="C48" s="11" t="s">
        <v>307</v>
      </c>
      <c r="D48" s="11" t="s">
        <v>308</v>
      </c>
      <c r="E48" s="8">
        <v>2024</v>
      </c>
      <c r="F48" s="8" t="s">
        <v>19</v>
      </c>
      <c r="G48" s="11" t="s">
        <v>153</v>
      </c>
      <c r="H48" s="11" t="s">
        <v>21</v>
      </c>
      <c r="I48" s="8" t="s">
        <v>82</v>
      </c>
      <c r="J48" s="8" t="s">
        <v>23</v>
      </c>
      <c r="K48" s="11" t="s">
        <v>309</v>
      </c>
      <c r="L48" s="11" t="s">
        <v>2</v>
      </c>
    </row>
    <row r="49" ht="42" spans="1:12">
      <c r="A49" s="8" t="s">
        <v>310</v>
      </c>
      <c r="B49" s="11" t="s">
        <v>311</v>
      </c>
      <c r="C49" s="11" t="s">
        <v>312</v>
      </c>
      <c r="D49" s="11" t="s">
        <v>313</v>
      </c>
      <c r="E49" s="8">
        <v>2025</v>
      </c>
      <c r="F49" s="8" t="s">
        <v>174</v>
      </c>
      <c r="G49" s="11" t="s">
        <v>314</v>
      </c>
      <c r="H49" s="11" t="s">
        <v>41</v>
      </c>
      <c r="I49" s="8" t="s">
        <v>73</v>
      </c>
      <c r="J49" s="8" t="s">
        <v>23</v>
      </c>
      <c r="K49" s="11" t="s">
        <v>315</v>
      </c>
      <c r="L49" s="11" t="s">
        <v>316</v>
      </c>
    </row>
    <row r="50" ht="28" spans="1:12">
      <c r="A50" s="8" t="s">
        <v>317</v>
      </c>
      <c r="B50" s="11" t="s">
        <v>318</v>
      </c>
      <c r="C50" s="11" t="s">
        <v>319</v>
      </c>
      <c r="D50" s="11" t="s">
        <v>320</v>
      </c>
      <c r="E50" s="8">
        <v>2025</v>
      </c>
      <c r="F50" s="8" t="s">
        <v>19</v>
      </c>
      <c r="G50" s="11" t="s">
        <v>40</v>
      </c>
      <c r="H50" s="11" t="s">
        <v>31</v>
      </c>
      <c r="I50" s="8" t="s">
        <v>42</v>
      </c>
      <c r="J50" s="8" t="s">
        <v>33</v>
      </c>
      <c r="K50" s="11" t="s">
        <v>321</v>
      </c>
      <c r="L50" s="11" t="s">
        <v>322</v>
      </c>
    </row>
    <row r="51" ht="42" spans="1:12">
      <c r="A51" s="8" t="s">
        <v>323</v>
      </c>
      <c r="B51" s="11" t="s">
        <v>324</v>
      </c>
      <c r="C51" s="11" t="s">
        <v>325</v>
      </c>
      <c r="D51" s="11" t="s">
        <v>326</v>
      </c>
      <c r="E51" s="8">
        <v>2024</v>
      </c>
      <c r="F51" s="8" t="s">
        <v>19</v>
      </c>
      <c r="G51" s="11" t="s">
        <v>327</v>
      </c>
      <c r="H51" s="11" t="s">
        <v>31</v>
      </c>
      <c r="I51" s="8" t="s">
        <v>73</v>
      </c>
      <c r="J51" s="8" t="s">
        <v>33</v>
      </c>
      <c r="K51" s="11" t="s">
        <v>328</v>
      </c>
      <c r="L51" s="11" t="s">
        <v>329</v>
      </c>
    </row>
    <row r="52" ht="28" spans="1:12">
      <c r="A52" s="8" t="s">
        <v>330</v>
      </c>
      <c r="B52" s="11" t="s">
        <v>331</v>
      </c>
      <c r="C52" s="11" t="s">
        <v>332</v>
      </c>
      <c r="D52" s="11" t="s">
        <v>333</v>
      </c>
      <c r="E52" s="8">
        <v>2023</v>
      </c>
      <c r="F52" s="8" t="s">
        <v>174</v>
      </c>
      <c r="G52" s="11" t="s">
        <v>334</v>
      </c>
      <c r="H52" s="11" t="s">
        <v>31</v>
      </c>
      <c r="I52" s="8" t="s">
        <v>73</v>
      </c>
      <c r="J52" s="8" t="s">
        <v>33</v>
      </c>
      <c r="K52" s="11" t="s">
        <v>335</v>
      </c>
      <c r="L52" s="11" t="s">
        <v>2</v>
      </c>
    </row>
    <row r="53" ht="28" spans="1:12">
      <c r="A53" s="8" t="s">
        <v>336</v>
      </c>
      <c r="B53" s="11" t="s">
        <v>337</v>
      </c>
      <c r="C53" s="11" t="s">
        <v>338</v>
      </c>
      <c r="D53" s="11" t="s">
        <v>339</v>
      </c>
      <c r="E53" s="8">
        <v>2025</v>
      </c>
      <c r="F53" s="8" t="s">
        <v>19</v>
      </c>
      <c r="G53" s="11" t="s">
        <v>30</v>
      </c>
      <c r="H53" s="11" t="s">
        <v>31</v>
      </c>
      <c r="I53" s="8" t="s">
        <v>73</v>
      </c>
      <c r="J53" s="8" t="s">
        <v>33</v>
      </c>
      <c r="K53" s="11" t="s">
        <v>340</v>
      </c>
      <c r="L53" s="11" t="s">
        <v>341</v>
      </c>
    </row>
    <row r="54" ht="28" spans="1:12">
      <c r="A54" s="8" t="s">
        <v>342</v>
      </c>
      <c r="B54" s="11" t="s">
        <v>343</v>
      </c>
      <c r="C54" s="11" t="s">
        <v>344</v>
      </c>
      <c r="D54" s="11" t="s">
        <v>345</v>
      </c>
      <c r="E54" s="8">
        <v>2026</v>
      </c>
      <c r="F54" s="8" t="s">
        <v>174</v>
      </c>
      <c r="G54" s="11" t="s">
        <v>346</v>
      </c>
      <c r="H54" s="11" t="s">
        <v>41</v>
      </c>
      <c r="I54" s="8" t="s">
        <v>73</v>
      </c>
      <c r="J54" s="8" t="s">
        <v>23</v>
      </c>
      <c r="K54" s="11" t="s">
        <v>347</v>
      </c>
      <c r="L54" s="11" t="s">
        <v>348</v>
      </c>
    </row>
    <row r="55" ht="42" spans="1:12">
      <c r="A55" s="8" t="s">
        <v>349</v>
      </c>
      <c r="B55" s="11" t="s">
        <v>350</v>
      </c>
      <c r="C55" s="11" t="s">
        <v>55</v>
      </c>
      <c r="D55" s="11" t="s">
        <v>351</v>
      </c>
      <c r="E55" s="8">
        <v>2026</v>
      </c>
      <c r="F55" s="8" t="s">
        <v>174</v>
      </c>
      <c r="G55" s="11" t="s">
        <v>303</v>
      </c>
      <c r="H55" s="11" t="s">
        <v>31</v>
      </c>
      <c r="I55" s="8" t="s">
        <v>73</v>
      </c>
      <c r="J55" s="8" t="s">
        <v>33</v>
      </c>
      <c r="K55" s="11" t="s">
        <v>352</v>
      </c>
      <c r="L55" s="11" t="s">
        <v>2</v>
      </c>
    </row>
    <row r="56" ht="28" spans="1:12">
      <c r="A56" s="8" t="s">
        <v>353</v>
      </c>
      <c r="B56" s="11" t="s">
        <v>354</v>
      </c>
      <c r="C56" s="11" t="s">
        <v>355</v>
      </c>
      <c r="D56" s="11" t="s">
        <v>356</v>
      </c>
      <c r="E56" s="8">
        <v>2025</v>
      </c>
      <c r="F56" s="8" t="s">
        <v>19</v>
      </c>
      <c r="G56" s="11" t="s">
        <v>50</v>
      </c>
      <c r="H56" s="11" t="s">
        <v>357</v>
      </c>
      <c r="I56" s="8" t="s">
        <v>73</v>
      </c>
      <c r="J56" s="8" t="s">
        <v>33</v>
      </c>
      <c r="K56" s="11" t="s">
        <v>358</v>
      </c>
      <c r="L56" s="11" t="s">
        <v>359</v>
      </c>
    </row>
    <row r="57" spans="1:12">
      <c r="A57" s="8" t="s">
        <v>360</v>
      </c>
      <c r="B57" s="11" t="s">
        <v>361</v>
      </c>
      <c r="C57" s="11" t="s">
        <v>362</v>
      </c>
      <c r="D57" s="11" t="s">
        <v>363</v>
      </c>
      <c r="E57" s="8">
        <v>2026</v>
      </c>
      <c r="F57" s="8" t="s">
        <v>19</v>
      </c>
      <c r="G57" s="11" t="s">
        <v>50</v>
      </c>
      <c r="H57" s="11" t="s">
        <v>357</v>
      </c>
      <c r="I57" s="8" t="s">
        <v>73</v>
      </c>
      <c r="J57" s="8" t="s">
        <v>33</v>
      </c>
      <c r="K57" s="11" t="s">
        <v>364</v>
      </c>
      <c r="L57" s="11" t="s">
        <v>365</v>
      </c>
    </row>
    <row r="58" ht="28" spans="1:12">
      <c r="A58" s="8" t="s">
        <v>366</v>
      </c>
      <c r="B58" s="11" t="s">
        <v>367</v>
      </c>
      <c r="C58" s="11" t="s">
        <v>368</v>
      </c>
      <c r="D58" s="11" t="s">
        <v>369</v>
      </c>
      <c r="E58" s="8">
        <v>2026</v>
      </c>
      <c r="F58" s="8" t="s">
        <v>19</v>
      </c>
      <c r="G58" s="11" t="s">
        <v>50</v>
      </c>
      <c r="H58" s="11" t="s">
        <v>357</v>
      </c>
      <c r="I58" s="8" t="s">
        <v>73</v>
      </c>
      <c r="J58" s="8" t="s">
        <v>33</v>
      </c>
      <c r="K58" s="11" t="s">
        <v>370</v>
      </c>
      <c r="L58" s="11" t="s">
        <v>371</v>
      </c>
    </row>
    <row r="59" ht="28" spans="1:12">
      <c r="A59" s="8" t="s">
        <v>372</v>
      </c>
      <c r="B59" s="11" t="s">
        <v>373</v>
      </c>
      <c r="C59" s="11" t="s">
        <v>374</v>
      </c>
      <c r="D59" s="11" t="s">
        <v>375</v>
      </c>
      <c r="E59" s="8">
        <v>2025</v>
      </c>
      <c r="F59" s="8" t="s">
        <v>19</v>
      </c>
      <c r="G59" s="11" t="s">
        <v>376</v>
      </c>
      <c r="H59" s="11" t="s">
        <v>31</v>
      </c>
      <c r="I59" s="8" t="s">
        <v>73</v>
      </c>
      <c r="J59" s="8" t="s">
        <v>33</v>
      </c>
      <c r="K59" s="11" t="s">
        <v>377</v>
      </c>
      <c r="L59" s="11" t="s">
        <v>378</v>
      </c>
    </row>
    <row r="60" ht="42" spans="1:12">
      <c r="A60" s="8" t="s">
        <v>379</v>
      </c>
      <c r="B60" s="11" t="s">
        <v>380</v>
      </c>
      <c r="C60" s="11" t="s">
        <v>381</v>
      </c>
      <c r="D60" s="11" t="s">
        <v>382</v>
      </c>
      <c r="E60" s="8">
        <v>2026</v>
      </c>
      <c r="F60" s="8" t="s">
        <v>19</v>
      </c>
      <c r="G60" s="11" t="s">
        <v>50</v>
      </c>
      <c r="H60" s="11" t="s">
        <v>31</v>
      </c>
      <c r="I60" s="8" t="s">
        <v>42</v>
      </c>
      <c r="J60" s="8" t="s">
        <v>33</v>
      </c>
      <c r="K60" s="11" t="s">
        <v>383</v>
      </c>
      <c r="L60" s="11" t="s">
        <v>384</v>
      </c>
    </row>
    <row r="61" ht="56" spans="1:12">
      <c r="A61" s="8" t="s">
        <v>385</v>
      </c>
      <c r="B61" s="11" t="s">
        <v>386</v>
      </c>
      <c r="C61" s="11" t="s">
        <v>387</v>
      </c>
      <c r="D61" s="11" t="s">
        <v>388</v>
      </c>
      <c r="E61" s="8">
        <v>1998</v>
      </c>
      <c r="F61" s="8" t="s">
        <v>19</v>
      </c>
      <c r="G61" s="11" t="s">
        <v>389</v>
      </c>
      <c r="H61" s="11" t="s">
        <v>21</v>
      </c>
      <c r="I61" s="8" t="s">
        <v>82</v>
      </c>
      <c r="J61" s="8" t="s">
        <v>43</v>
      </c>
      <c r="K61" s="11" t="s">
        <v>390</v>
      </c>
      <c r="L61" s="11" t="s">
        <v>391</v>
      </c>
    </row>
    <row r="62" ht="28" spans="1:12">
      <c r="A62" s="8" t="s">
        <v>392</v>
      </c>
      <c r="B62" s="11" t="s">
        <v>393</v>
      </c>
      <c r="C62" s="11" t="s">
        <v>394</v>
      </c>
      <c r="D62" s="11" t="s">
        <v>395</v>
      </c>
      <c r="E62" s="8">
        <v>2016</v>
      </c>
      <c r="F62" s="8" t="s">
        <v>396</v>
      </c>
      <c r="G62" s="11" t="s">
        <v>397</v>
      </c>
      <c r="H62" s="11" t="s">
        <v>21</v>
      </c>
      <c r="I62" s="8" t="s">
        <v>82</v>
      </c>
      <c r="J62" s="8" t="s">
        <v>59</v>
      </c>
      <c r="K62" s="11" t="s">
        <v>398</v>
      </c>
      <c r="L62" s="11" t="s">
        <v>399</v>
      </c>
    </row>
    <row r="63" ht="42" spans="1:12">
      <c r="A63" s="8" t="s">
        <v>400</v>
      </c>
      <c r="B63" s="11" t="s">
        <v>401</v>
      </c>
      <c r="C63" s="11" t="s">
        <v>402</v>
      </c>
      <c r="D63" s="11" t="s">
        <v>403</v>
      </c>
      <c r="E63" s="8">
        <v>2017</v>
      </c>
      <c r="F63" s="8" t="s">
        <v>404</v>
      </c>
      <c r="G63" s="11" t="s">
        <v>405</v>
      </c>
      <c r="H63" s="11" t="s">
        <v>21</v>
      </c>
      <c r="I63" s="8" t="s">
        <v>82</v>
      </c>
      <c r="J63" s="8" t="s">
        <v>23</v>
      </c>
      <c r="K63" s="11" t="s">
        <v>406</v>
      </c>
      <c r="L63" s="11" t="s">
        <v>407</v>
      </c>
    </row>
    <row r="64" ht="42" spans="1:12">
      <c r="A64" s="8" t="s">
        <v>408</v>
      </c>
      <c r="B64" s="11" t="s">
        <v>409</v>
      </c>
      <c r="C64" s="11" t="s">
        <v>410</v>
      </c>
      <c r="D64" s="11" t="s">
        <v>411</v>
      </c>
      <c r="E64" s="8">
        <v>2018</v>
      </c>
      <c r="F64" s="8" t="s">
        <v>19</v>
      </c>
      <c r="G64" s="11" t="s">
        <v>389</v>
      </c>
      <c r="H64" s="11" t="s">
        <v>21</v>
      </c>
      <c r="I64" s="8" t="s">
        <v>82</v>
      </c>
      <c r="J64" s="8" t="s">
        <v>43</v>
      </c>
      <c r="K64" s="11" t="s">
        <v>412</v>
      </c>
      <c r="L64" s="11" t="s">
        <v>413</v>
      </c>
    </row>
    <row r="65" ht="28" spans="1:12">
      <c r="A65" s="8" t="s">
        <v>414</v>
      </c>
      <c r="B65" s="11" t="s">
        <v>415</v>
      </c>
      <c r="C65" s="11" t="s">
        <v>416</v>
      </c>
      <c r="D65" s="11" t="s">
        <v>417</v>
      </c>
      <c r="E65" s="8">
        <v>2023</v>
      </c>
      <c r="F65" s="8" t="s">
        <v>19</v>
      </c>
      <c r="G65" s="11" t="s">
        <v>418</v>
      </c>
      <c r="H65" s="11" t="s">
        <v>21</v>
      </c>
      <c r="I65" s="8" t="s">
        <v>82</v>
      </c>
      <c r="J65" s="8" t="s">
        <v>43</v>
      </c>
      <c r="K65" s="11" t="s">
        <v>419</v>
      </c>
      <c r="L65" s="11" t="s">
        <v>420</v>
      </c>
    </row>
    <row r="66" ht="28" spans="1:12">
      <c r="A66" s="8" t="s">
        <v>421</v>
      </c>
      <c r="B66" s="11" t="s">
        <v>422</v>
      </c>
      <c r="C66" s="11" t="s">
        <v>423</v>
      </c>
      <c r="D66" s="11" t="s">
        <v>424</v>
      </c>
      <c r="E66" s="8">
        <v>2011</v>
      </c>
      <c r="F66" s="8" t="s">
        <v>19</v>
      </c>
      <c r="G66" s="11" t="s">
        <v>425</v>
      </c>
      <c r="H66" s="11" t="s">
        <v>41</v>
      </c>
      <c r="I66" s="8" t="s">
        <v>32</v>
      </c>
      <c r="J66" s="8" t="s">
        <v>23</v>
      </c>
      <c r="K66" s="11" t="s">
        <v>426</v>
      </c>
      <c r="L66" s="11" t="s">
        <v>2</v>
      </c>
    </row>
    <row r="67" ht="42" spans="1:12">
      <c r="A67" s="8" t="s">
        <v>427</v>
      </c>
      <c r="B67" s="11" t="s">
        <v>428</v>
      </c>
      <c r="C67" s="11" t="s">
        <v>429</v>
      </c>
      <c r="D67" s="11" t="s">
        <v>430</v>
      </c>
      <c r="E67" s="8">
        <v>2011</v>
      </c>
      <c r="F67" s="8" t="s">
        <v>19</v>
      </c>
      <c r="G67" s="11" t="s">
        <v>431</v>
      </c>
      <c r="H67" s="11" t="s">
        <v>41</v>
      </c>
      <c r="I67" s="8" t="s">
        <v>32</v>
      </c>
      <c r="J67" s="8" t="s">
        <v>59</v>
      </c>
      <c r="K67" s="11" t="s">
        <v>432</v>
      </c>
      <c r="L67" s="11" t="s">
        <v>2</v>
      </c>
    </row>
    <row r="68" ht="42" spans="1:12">
      <c r="A68" s="8" t="s">
        <v>433</v>
      </c>
      <c r="B68" s="11" t="s">
        <v>434</v>
      </c>
      <c r="C68" s="11" t="s">
        <v>435</v>
      </c>
      <c r="D68" s="11" t="s">
        <v>436</v>
      </c>
      <c r="E68" s="8">
        <v>2012</v>
      </c>
      <c r="F68" s="8" t="s">
        <v>19</v>
      </c>
      <c r="G68" s="11" t="s">
        <v>431</v>
      </c>
      <c r="H68" s="11" t="s">
        <v>41</v>
      </c>
      <c r="I68" s="8" t="s">
        <v>73</v>
      </c>
      <c r="J68" s="8" t="s">
        <v>59</v>
      </c>
      <c r="K68" s="11" t="s">
        <v>437</v>
      </c>
      <c r="L68" s="11" t="s">
        <v>2</v>
      </c>
    </row>
    <row r="69" ht="28" spans="1:12">
      <c r="A69" s="8" t="s">
        <v>438</v>
      </c>
      <c r="B69" s="11" t="s">
        <v>439</v>
      </c>
      <c r="C69" s="11" t="s">
        <v>440</v>
      </c>
      <c r="D69" s="11" t="s">
        <v>441</v>
      </c>
      <c r="E69" s="8">
        <v>2014</v>
      </c>
      <c r="F69" s="8" t="s">
        <v>19</v>
      </c>
      <c r="G69" s="11" t="s">
        <v>442</v>
      </c>
      <c r="H69" s="11" t="s">
        <v>41</v>
      </c>
      <c r="I69" s="8" t="s">
        <v>73</v>
      </c>
      <c r="J69" s="8" t="s">
        <v>23</v>
      </c>
      <c r="K69" s="11" t="s">
        <v>443</v>
      </c>
      <c r="L69" s="11" t="s">
        <v>2</v>
      </c>
    </row>
    <row r="70" ht="28" spans="1:12">
      <c r="A70" s="8" t="s">
        <v>444</v>
      </c>
      <c r="B70" s="11" t="s">
        <v>445</v>
      </c>
      <c r="C70" s="11" t="s">
        <v>446</v>
      </c>
      <c r="D70" s="11" t="s">
        <v>447</v>
      </c>
      <c r="E70" s="8">
        <v>2017</v>
      </c>
      <c r="F70" s="8" t="s">
        <v>19</v>
      </c>
      <c r="G70" s="11" t="s">
        <v>448</v>
      </c>
      <c r="H70" s="11" t="s">
        <v>41</v>
      </c>
      <c r="I70" s="8" t="s">
        <v>73</v>
      </c>
      <c r="J70" s="8" t="s">
        <v>23</v>
      </c>
      <c r="K70" s="11" t="s">
        <v>449</v>
      </c>
      <c r="L70" s="11" t="s">
        <v>2</v>
      </c>
    </row>
    <row r="71" ht="42" spans="1:12">
      <c r="A71" s="8" t="s">
        <v>450</v>
      </c>
      <c r="B71" s="11" t="s">
        <v>451</v>
      </c>
      <c r="C71" s="11" t="s">
        <v>452</v>
      </c>
      <c r="D71" s="11" t="s">
        <v>453</v>
      </c>
      <c r="E71" s="8">
        <v>2023</v>
      </c>
      <c r="F71" s="8" t="s">
        <v>19</v>
      </c>
      <c r="G71" s="11" t="s">
        <v>454</v>
      </c>
      <c r="H71" s="11" t="s">
        <v>41</v>
      </c>
      <c r="I71" s="8" t="s">
        <v>73</v>
      </c>
      <c r="J71" s="8" t="s">
        <v>23</v>
      </c>
      <c r="K71" s="11" t="s">
        <v>455</v>
      </c>
      <c r="L71" s="11" t="s">
        <v>2</v>
      </c>
    </row>
    <row r="72" ht="28" spans="1:12">
      <c r="A72" s="8" t="s">
        <v>456</v>
      </c>
      <c r="B72" s="11" t="s">
        <v>457</v>
      </c>
      <c r="C72" s="11" t="s">
        <v>458</v>
      </c>
      <c r="D72" s="11" t="s">
        <v>459</v>
      </c>
      <c r="E72" s="8">
        <v>2007</v>
      </c>
      <c r="F72" s="8" t="s">
        <v>19</v>
      </c>
      <c r="G72" s="11" t="s">
        <v>460</v>
      </c>
      <c r="H72" s="11" t="s">
        <v>41</v>
      </c>
      <c r="I72" s="8" t="s">
        <v>32</v>
      </c>
      <c r="J72" s="8" t="s">
        <v>43</v>
      </c>
      <c r="K72" s="11" t="s">
        <v>461</v>
      </c>
      <c r="L72" s="11" t="s">
        <v>2</v>
      </c>
    </row>
    <row r="73" ht="28" spans="1:12">
      <c r="A73" s="8" t="s">
        <v>462</v>
      </c>
      <c r="B73" s="11" t="s">
        <v>463</v>
      </c>
      <c r="C73" s="11" t="s">
        <v>464</v>
      </c>
      <c r="D73" s="11" t="s">
        <v>465</v>
      </c>
      <c r="E73" s="8">
        <v>2008</v>
      </c>
      <c r="F73" s="8" t="s">
        <v>19</v>
      </c>
      <c r="G73" s="11" t="s">
        <v>466</v>
      </c>
      <c r="H73" s="11" t="s">
        <v>41</v>
      </c>
      <c r="I73" s="8" t="s">
        <v>32</v>
      </c>
      <c r="J73" s="8" t="s">
        <v>43</v>
      </c>
      <c r="K73" s="11" t="s">
        <v>467</v>
      </c>
      <c r="L73" s="11" t="s">
        <v>2</v>
      </c>
    </row>
    <row r="74" ht="28" spans="1:12">
      <c r="A74" s="8" t="s">
        <v>468</v>
      </c>
      <c r="B74" s="11" t="s">
        <v>469</v>
      </c>
      <c r="C74" s="11" t="s">
        <v>470</v>
      </c>
      <c r="D74" s="11" t="s">
        <v>471</v>
      </c>
      <c r="E74" s="8">
        <v>2008</v>
      </c>
      <c r="F74" s="8" t="s">
        <v>19</v>
      </c>
      <c r="G74" s="11" t="s">
        <v>466</v>
      </c>
      <c r="H74" s="11" t="s">
        <v>41</v>
      </c>
      <c r="I74" s="8" t="s">
        <v>32</v>
      </c>
      <c r="J74" s="8" t="s">
        <v>43</v>
      </c>
      <c r="K74" s="11" t="s">
        <v>472</v>
      </c>
      <c r="L74" s="11" t="s">
        <v>2</v>
      </c>
    </row>
    <row r="75" ht="28" spans="1:12">
      <c r="A75" s="8" t="s">
        <v>473</v>
      </c>
      <c r="B75" s="11" t="s">
        <v>474</v>
      </c>
      <c r="C75" s="11" t="s">
        <v>475</v>
      </c>
      <c r="D75" s="11" t="s">
        <v>476</v>
      </c>
      <c r="E75" s="8">
        <v>2009</v>
      </c>
      <c r="F75" s="8" t="s">
        <v>19</v>
      </c>
      <c r="G75" s="11" t="s">
        <v>477</v>
      </c>
      <c r="H75" s="11" t="s">
        <v>41</v>
      </c>
      <c r="I75" s="8" t="s">
        <v>32</v>
      </c>
      <c r="J75" s="8" t="s">
        <v>43</v>
      </c>
      <c r="K75" s="11" t="s">
        <v>478</v>
      </c>
      <c r="L75" s="11" t="s">
        <v>2</v>
      </c>
    </row>
    <row r="76" ht="70" spans="1:12">
      <c r="A76" s="8" t="s">
        <v>479</v>
      </c>
      <c r="B76" s="11" t="s">
        <v>480</v>
      </c>
      <c r="C76" s="11" t="s">
        <v>481</v>
      </c>
      <c r="D76" s="11" t="s">
        <v>482</v>
      </c>
      <c r="E76" s="8">
        <v>2026</v>
      </c>
      <c r="F76" s="8" t="s">
        <v>174</v>
      </c>
      <c r="G76" s="11" t="s">
        <v>483</v>
      </c>
      <c r="H76" s="11" t="s">
        <v>41</v>
      </c>
      <c r="I76" s="8" t="s">
        <v>58</v>
      </c>
      <c r="J76" s="8" t="s">
        <v>23</v>
      </c>
      <c r="K76" s="11" t="s">
        <v>484</v>
      </c>
      <c r="L76" s="11" t="s">
        <v>485</v>
      </c>
    </row>
    <row r="77" ht="42" spans="1:12">
      <c r="A77" s="8" t="s">
        <v>486</v>
      </c>
      <c r="B77" s="11" t="s">
        <v>487</v>
      </c>
      <c r="C77" s="11" t="s">
        <v>481</v>
      </c>
      <c r="D77" s="11" t="s">
        <v>488</v>
      </c>
      <c r="E77" s="8">
        <v>2026</v>
      </c>
      <c r="F77" s="8" t="s">
        <v>174</v>
      </c>
      <c r="G77" s="11" t="s">
        <v>489</v>
      </c>
      <c r="H77" s="11" t="s">
        <v>41</v>
      </c>
      <c r="I77" s="8" t="s">
        <v>42</v>
      </c>
      <c r="J77" s="8" t="s">
        <v>23</v>
      </c>
      <c r="K77" s="11" t="s">
        <v>490</v>
      </c>
      <c r="L77" s="11" t="s">
        <v>491</v>
      </c>
    </row>
    <row r="78" ht="28" spans="1:12">
      <c r="A78" s="8" t="s">
        <v>492</v>
      </c>
      <c r="B78" s="11" t="s">
        <v>493</v>
      </c>
      <c r="C78" s="11" t="s">
        <v>238</v>
      </c>
      <c r="D78" s="11" t="s">
        <v>494</v>
      </c>
      <c r="E78" s="8">
        <v>2026</v>
      </c>
      <c r="F78" s="8" t="s">
        <v>19</v>
      </c>
      <c r="G78" s="11" t="s">
        <v>495</v>
      </c>
      <c r="H78" s="11" t="s">
        <v>31</v>
      </c>
      <c r="I78" s="8" t="s">
        <v>73</v>
      </c>
      <c r="J78" s="8" t="s">
        <v>33</v>
      </c>
      <c r="K78" s="11" t="s">
        <v>496</v>
      </c>
      <c r="L78" s="11" t="s">
        <v>497</v>
      </c>
    </row>
    <row r="79" ht="42" spans="1:12">
      <c r="A79" s="8" t="s">
        <v>498</v>
      </c>
      <c r="B79" s="11" t="s">
        <v>499</v>
      </c>
      <c r="C79" s="11" t="s">
        <v>238</v>
      </c>
      <c r="D79" s="11" t="s">
        <v>500</v>
      </c>
      <c r="E79" s="8">
        <v>2026</v>
      </c>
      <c r="F79" s="8" t="s">
        <v>174</v>
      </c>
      <c r="G79" s="11" t="s">
        <v>501</v>
      </c>
      <c r="H79" s="11" t="s">
        <v>31</v>
      </c>
      <c r="I79" s="8" t="s">
        <v>73</v>
      </c>
      <c r="J79" s="8" t="s">
        <v>33</v>
      </c>
      <c r="K79" s="11" t="s">
        <v>502</v>
      </c>
      <c r="L79" s="11" t="s">
        <v>503</v>
      </c>
    </row>
    <row r="80" ht="28" spans="1:12">
      <c r="A80" s="8" t="s">
        <v>504</v>
      </c>
      <c r="B80" s="11" t="s">
        <v>505</v>
      </c>
      <c r="C80" s="11" t="s">
        <v>506</v>
      </c>
      <c r="D80" s="11" t="s">
        <v>507</v>
      </c>
      <c r="E80" s="8">
        <v>2026</v>
      </c>
      <c r="F80" s="8" t="s">
        <v>19</v>
      </c>
      <c r="G80" s="11" t="s">
        <v>50</v>
      </c>
      <c r="H80" s="11" t="s">
        <v>41</v>
      </c>
      <c r="I80" s="8" t="s">
        <v>58</v>
      </c>
      <c r="J80" s="8" t="s">
        <v>23</v>
      </c>
      <c r="K80" s="11" t="s">
        <v>508</v>
      </c>
      <c r="L80" s="11" t="s">
        <v>509</v>
      </c>
    </row>
    <row r="81" ht="42" spans="1:12">
      <c r="A81" s="8" t="s">
        <v>510</v>
      </c>
      <c r="B81" s="11" t="s">
        <v>511</v>
      </c>
      <c r="C81" s="11" t="s">
        <v>512</v>
      </c>
      <c r="D81" s="11" t="s">
        <v>513</v>
      </c>
      <c r="E81" s="8">
        <v>2026</v>
      </c>
      <c r="F81" s="8" t="s">
        <v>174</v>
      </c>
      <c r="G81" s="11" t="s">
        <v>514</v>
      </c>
      <c r="H81" s="11" t="s">
        <v>41</v>
      </c>
      <c r="I81" s="8" t="s">
        <v>42</v>
      </c>
      <c r="J81" s="8" t="s">
        <v>23</v>
      </c>
      <c r="K81" s="11" t="s">
        <v>515</v>
      </c>
      <c r="L81" s="11" t="s">
        <v>516</v>
      </c>
    </row>
    <row r="82" ht="56" spans="1:12">
      <c r="A82" s="8" t="s">
        <v>517</v>
      </c>
      <c r="B82" s="11" t="s">
        <v>518</v>
      </c>
      <c r="C82" s="11" t="s">
        <v>519</v>
      </c>
      <c r="D82" s="11" t="s">
        <v>520</v>
      </c>
      <c r="E82" s="8">
        <v>2026</v>
      </c>
      <c r="F82" s="8" t="s">
        <v>174</v>
      </c>
      <c r="G82" s="11" t="s">
        <v>521</v>
      </c>
      <c r="H82" s="11" t="s">
        <v>31</v>
      </c>
      <c r="I82" s="8" t="s">
        <v>42</v>
      </c>
      <c r="J82" s="8" t="s">
        <v>33</v>
      </c>
      <c r="K82" s="11" t="s">
        <v>522</v>
      </c>
      <c r="L82" s="11" t="s">
        <v>2</v>
      </c>
    </row>
    <row r="83" ht="28" spans="1:12">
      <c r="A83" s="8" t="s">
        <v>523</v>
      </c>
      <c r="B83" s="11" t="s">
        <v>524</v>
      </c>
      <c r="C83" s="11" t="s">
        <v>525</v>
      </c>
      <c r="D83" s="11" t="s">
        <v>526</v>
      </c>
      <c r="E83" s="8">
        <v>2026</v>
      </c>
      <c r="F83" s="8" t="s">
        <v>19</v>
      </c>
      <c r="G83" s="11" t="s">
        <v>50</v>
      </c>
      <c r="H83" s="11" t="s">
        <v>31</v>
      </c>
      <c r="I83" s="8" t="s">
        <v>73</v>
      </c>
      <c r="J83" s="8" t="s">
        <v>33</v>
      </c>
      <c r="K83" s="11" t="s">
        <v>527</v>
      </c>
      <c r="L83" s="11" t="s">
        <v>528</v>
      </c>
    </row>
    <row r="84" ht="42" spans="1:12">
      <c r="A84" s="8" t="s">
        <v>529</v>
      </c>
      <c r="B84" s="11" t="s">
        <v>530</v>
      </c>
      <c r="C84" s="11" t="s">
        <v>531</v>
      </c>
      <c r="D84" s="11" t="s">
        <v>532</v>
      </c>
      <c r="E84" s="8">
        <v>2026</v>
      </c>
      <c r="F84" s="8" t="s">
        <v>19</v>
      </c>
      <c r="G84" s="11" t="s">
        <v>50</v>
      </c>
      <c r="H84" s="11" t="s">
        <v>31</v>
      </c>
      <c r="I84" s="8" t="s">
        <v>42</v>
      </c>
      <c r="J84" s="8" t="s">
        <v>33</v>
      </c>
      <c r="K84" s="11" t="s">
        <v>533</v>
      </c>
      <c r="L84" s="11" t="s">
        <v>534</v>
      </c>
    </row>
  </sheetData>
  <mergeCells count="2">
    <mergeCell ref="A1:L1"/>
    <mergeCell ref="A2:L2"/>
  </mergeCells>
  <dataValidations count="2">
    <dataValidation type="list" sqref="I5:I84">
      <formula1>"Material,Surface,Character,Fragment,Slip,Manuscript,Meaning"</formula1>
    </dataValidation>
    <dataValidation type="list" sqref="J5:J84">
      <formula1>"Bamboo-centred,Wood-specific,Both bamboo and wood,Jiandu/manuscript; carrier unspecified or inseparable,Adjacent/non-Jiandu evidence"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:D1"/>
    </sheetView>
  </sheetViews>
  <sheetFormatPr defaultColWidth="9" defaultRowHeight="14" outlineLevelCol="3"/>
  <cols>
    <col min="1" max="1" width="48" style="1" customWidth="1"/>
    <col min="2" max="3" width="18" style="1" customWidth="1"/>
    <col min="4" max="16384" width="9" style="1"/>
  </cols>
  <sheetData>
    <row r="1" ht="18" spans="1:4">
      <c r="A1" s="6" t="s">
        <v>535</v>
      </c>
      <c r="B1" s="6"/>
      <c r="C1" s="6"/>
      <c r="D1" s="6"/>
    </row>
    <row r="2" spans="1:4">
      <c r="A2" t="s">
        <v>536</v>
      </c>
      <c r="B2" t="s">
        <v>537</v>
      </c>
      <c r="C2"/>
    </row>
    <row r="3" spans="1:4">
      <c r="A3" s="7" t="s">
        <v>11</v>
      </c>
      <c r="B3" s="7" t="s">
        <v>538</v>
      </c>
      <c r="C3" s="7" t="s">
        <v>539</v>
      </c>
    </row>
    <row r="4" spans="1:4">
      <c r="A4" s="8" t="s">
        <v>22</v>
      </c>
      <c r="B4" s="8" t="e">
        <f>COUNTIF('[1]#REF'!$I$5:$I$84,A4)</f>
        <v>#VALUE!</v>
      </c>
      <c r="C4" s="8">
        <v>6</v>
      </c>
    </row>
    <row r="5" spans="1:4">
      <c r="A5" s="8" t="s">
        <v>32</v>
      </c>
      <c r="B5" s="8" t="e">
        <f>COUNTIF('[1]#REF'!$I$5:$I$84,A5)</f>
        <v>#VALUE!</v>
      </c>
      <c r="C5" s="8">
        <v>14</v>
      </c>
    </row>
    <row r="6" spans="1:4">
      <c r="A6" s="8" t="s">
        <v>42</v>
      </c>
      <c r="B6" s="8" t="e">
        <f>COUNTIF('[1]#REF'!$I$5:$I$84,A6)</f>
        <v>#VALUE!</v>
      </c>
      <c r="C6" s="8">
        <v>27</v>
      </c>
    </row>
    <row r="7" spans="1:4">
      <c r="A7" s="8" t="s">
        <v>58</v>
      </c>
      <c r="B7" s="8" t="e">
        <f>COUNTIF('[1]#REF'!$I$5:$I$84,A7)</f>
        <v>#VALUE!</v>
      </c>
      <c r="C7" s="8">
        <v>4</v>
      </c>
    </row>
    <row r="8" spans="1:4">
      <c r="A8" s="8" t="s">
        <v>146</v>
      </c>
      <c r="B8" s="8" t="e">
        <f>COUNTIF('[1]#REF'!$I$5:$I$84,A8)</f>
        <v>#VALUE!</v>
      </c>
      <c r="C8" s="8">
        <v>1</v>
      </c>
    </row>
    <row r="9" spans="1:4">
      <c r="A9" s="8" t="s">
        <v>82</v>
      </c>
      <c r="B9" s="8" t="e">
        <f>COUNTIF('[1]#REF'!$I$5:$I$84,A9)</f>
        <v>#VALUE!</v>
      </c>
      <c r="C9" s="8">
        <v>9</v>
      </c>
    </row>
    <row r="10" spans="1:4">
      <c r="A10" s="8" t="s">
        <v>73</v>
      </c>
      <c r="B10" s="8" t="e">
        <f>COUNTIF('[1]#REF'!$I$5:$I$84,A10)</f>
        <v>#VALUE!</v>
      </c>
      <c r="C10" s="8">
        <v>19</v>
      </c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7" t="s">
        <v>12</v>
      </c>
      <c r="B13" s="7" t="s">
        <v>538</v>
      </c>
      <c r="C13" s="7" t="s">
        <v>539</v>
      </c>
    </row>
    <row r="14" spans="1:4">
      <c r="A14" s="8" t="s">
        <v>23</v>
      </c>
      <c r="B14" s="8" t="e">
        <f>COUNTIF('[1]#REF'!$J$5:$J$84,A14)</f>
        <v>#VALUE!</v>
      </c>
      <c r="C14" s="8">
        <v>36</v>
      </c>
    </row>
    <row r="15" spans="1:4">
      <c r="A15" s="8" t="s">
        <v>167</v>
      </c>
      <c r="B15" s="8" t="e">
        <f>COUNTIF('[1]#REF'!$J$5:$J$84,A15)</f>
        <v>#VALUE!</v>
      </c>
      <c r="C15" s="8">
        <v>1</v>
      </c>
    </row>
    <row r="16" spans="1:4">
      <c r="A16" s="8" t="s">
        <v>59</v>
      </c>
      <c r="B16" s="8" t="e">
        <f>COUNTIF('[1]#REF'!$J$5:$J$84,A16)</f>
        <v>#VALUE!</v>
      </c>
      <c r="C16" s="8">
        <v>5</v>
      </c>
    </row>
    <row r="17" spans="1:3">
      <c r="A17" s="8" t="s">
        <v>43</v>
      </c>
      <c r="B17" s="8" t="e">
        <f>COUNTIF('[1]#REF'!$J$5:$J$84,A17)</f>
        <v>#VALUE!</v>
      </c>
      <c r="C17" s="8">
        <v>15</v>
      </c>
    </row>
    <row r="18" spans="1:3">
      <c r="A18" s="8" t="s">
        <v>33</v>
      </c>
      <c r="B18" s="8" t="e">
        <f>COUNTIF('[1]#REF'!$J$5:$J$84,A18)</f>
        <v>#VALUE!</v>
      </c>
      <c r="C18" s="8">
        <v>23</v>
      </c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 t="s">
        <v>540</v>
      </c>
      <c r="B21" s="8">
        <v>80</v>
      </c>
      <c r="C21" s="8"/>
    </row>
    <row r="22" spans="1:3">
      <c r="A22" s="8" t="s">
        <v>541</v>
      </c>
      <c r="B22" s="8">
        <v>6</v>
      </c>
      <c r="C22" s="8"/>
    </row>
    <row r="23" spans="1:3">
      <c r="A23" s="8" t="s">
        <v>542</v>
      </c>
      <c r="B23" s="8">
        <v>86</v>
      </c>
      <c r="C23" s="8"/>
    </row>
    <row r="24" spans="1:3">
      <c r="A24" s="8" t="s">
        <v>543</v>
      </c>
      <c r="B24" s="8" t="s">
        <v>544</v>
      </c>
      <c r="C24" s="8"/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1"/>
    </sheetView>
  </sheetViews>
  <sheetFormatPr defaultColWidth="9" defaultRowHeight="14" outlineLevelCol="7"/>
  <cols>
    <col min="1" max="1" width="30" style="2" customWidth="1"/>
    <col min="2" max="2" width="22" style="2" customWidth="1"/>
    <col min="3" max="3" width="50" style="2" customWidth="1"/>
    <col min="4" max="4" width="10" style="2" customWidth="1"/>
    <col min="5" max="5" width="30" style="2" customWidth="1"/>
    <col min="6" max="6" width="52" style="2" customWidth="1"/>
    <col min="7" max="7" width="42" style="2" customWidth="1"/>
    <col min="8" max="8" width="34" style="2" customWidth="1"/>
    <col min="9" max="16384" width="9" style="2"/>
  </cols>
  <sheetData>
    <row r="1" ht="18" spans="1:8">
      <c r="A1" s="3" t="s">
        <v>545</v>
      </c>
      <c r="B1" s="3"/>
      <c r="C1" s="3"/>
      <c r="D1" s="3"/>
      <c r="E1" s="3"/>
      <c r="F1" s="3"/>
      <c r="G1" s="3"/>
      <c r="H1" s="3"/>
    </row>
    <row r="3" s="1" customFormat="1" spans="1:8">
      <c r="A3" s="4" t="s">
        <v>4</v>
      </c>
      <c r="B3" s="4" t="s">
        <v>5</v>
      </c>
      <c r="C3" s="4" t="s">
        <v>6</v>
      </c>
      <c r="D3" s="4" t="s">
        <v>7</v>
      </c>
      <c r="E3" s="4" t="s">
        <v>9</v>
      </c>
      <c r="F3" s="4" t="s">
        <v>546</v>
      </c>
      <c r="G3" s="4" t="s">
        <v>14</v>
      </c>
      <c r="H3" s="4" t="s">
        <v>547</v>
      </c>
    </row>
    <row r="4" ht="42" spans="1:8">
      <c r="A4" s="5" t="s">
        <v>548</v>
      </c>
      <c r="B4" s="5" t="s">
        <v>549</v>
      </c>
      <c r="C4" s="5" t="s">
        <v>550</v>
      </c>
      <c r="D4" s="5">
        <v>2026</v>
      </c>
      <c r="E4" s="5" t="s">
        <v>50</v>
      </c>
      <c r="F4" s="5" t="s">
        <v>551</v>
      </c>
      <c r="G4" s="5" t="s">
        <v>552</v>
      </c>
      <c r="H4" s="5" t="s">
        <v>553</v>
      </c>
    </row>
    <row r="5" ht="28" spans="1:8">
      <c r="A5" s="5" t="s">
        <v>554</v>
      </c>
      <c r="B5" s="5" t="s">
        <v>555</v>
      </c>
      <c r="C5" s="5" t="s">
        <v>556</v>
      </c>
      <c r="D5" s="5">
        <v>2026</v>
      </c>
      <c r="E5" s="5" t="s">
        <v>557</v>
      </c>
      <c r="F5" s="5" t="s">
        <v>551</v>
      </c>
      <c r="G5" s="5" t="s">
        <v>558</v>
      </c>
      <c r="H5" s="5" t="s">
        <v>553</v>
      </c>
    </row>
    <row r="6" ht="28" spans="1:8">
      <c r="A6" s="5" t="s">
        <v>559</v>
      </c>
      <c r="B6" s="5" t="s">
        <v>560</v>
      </c>
      <c r="C6" s="5" t="s">
        <v>561</v>
      </c>
      <c r="D6" s="5">
        <v>2026</v>
      </c>
      <c r="E6" s="5" t="s">
        <v>562</v>
      </c>
      <c r="F6" s="5" t="s">
        <v>551</v>
      </c>
      <c r="G6" s="5" t="s">
        <v>563</v>
      </c>
      <c r="H6" s="5" t="s">
        <v>553</v>
      </c>
    </row>
    <row r="7" ht="28" spans="1:8">
      <c r="A7" s="5" t="s">
        <v>564</v>
      </c>
      <c r="B7" s="5" t="s">
        <v>555</v>
      </c>
      <c r="C7" s="5" t="s">
        <v>565</v>
      </c>
      <c r="D7" s="5">
        <v>2026</v>
      </c>
      <c r="E7" s="5" t="s">
        <v>562</v>
      </c>
      <c r="F7" s="5" t="s">
        <v>551</v>
      </c>
      <c r="G7" s="5" t="s">
        <v>566</v>
      </c>
      <c r="H7" s="5" t="s">
        <v>553</v>
      </c>
    </row>
    <row r="8" ht="70" spans="1:8">
      <c r="A8" s="5" t="s">
        <v>567</v>
      </c>
      <c r="B8" s="5" t="s">
        <v>568</v>
      </c>
      <c r="C8" s="5" t="s">
        <v>569</v>
      </c>
      <c r="D8" s="5">
        <v>2025</v>
      </c>
      <c r="E8" s="5" t="s">
        <v>570</v>
      </c>
      <c r="F8" s="5" t="s">
        <v>551</v>
      </c>
      <c r="G8" s="5" t="s">
        <v>571</v>
      </c>
      <c r="H8" s="5" t="s">
        <v>553</v>
      </c>
    </row>
    <row r="9" ht="70" spans="1:8">
      <c r="A9" s="5" t="s">
        <v>572</v>
      </c>
      <c r="B9" s="5" t="s">
        <v>573</v>
      </c>
      <c r="C9" s="5" t="s">
        <v>574</v>
      </c>
      <c r="D9" s="5">
        <v>2025</v>
      </c>
      <c r="E9" s="5" t="s">
        <v>570</v>
      </c>
      <c r="F9" s="5" t="s">
        <v>551</v>
      </c>
      <c r="G9" s="5" t="s">
        <v>575</v>
      </c>
      <c r="H9" s="5" t="s">
        <v>553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Source-level coding</vt:lpstr>
      <vt:lpstr>Coding summary</vt:lpstr>
      <vt:lpstr>Contextual 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张铖</cp:lastModifiedBy>
  <dcterms:created xsi:type="dcterms:W3CDTF">2026-10-16T05:34:48Z</dcterms:created>
  <dcterms:modified xsi:type="dcterms:W3CDTF">2026-10-16T05:34:55Z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8106BE78761848B69CF18FDF6C8AA868_13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